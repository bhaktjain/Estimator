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Demolition</t>
        </is>
      </c>
      <c r="B2" t="inlineStr">
        <is>
          <t>Bathroom 1</t>
        </is>
      </c>
      <c r="C2" t="inlineStr">
        <is>
          <t>Demolition</t>
        </is>
      </c>
      <c r="D2" t="inlineStr">
        <is>
          <t>bathroom demolition|UNIT|demolition of bathroom including removal of old fixtures tile vanity flooring an</t>
        </is>
      </c>
      <c r="E2" t="inlineStr">
        <is>
          <t>bathroom demolition</t>
        </is>
      </c>
      <c r="F2" t="inlineStr">
        <is>
          <t>demolition of bathroom including removal of old fixtures tile vanity flooring and debris removal</t>
        </is>
      </c>
      <c r="G2" t="n">
        <v>1</v>
      </c>
      <c r="H2" t="inlineStr">
        <is>
          <t>UNIT</t>
        </is>
      </c>
      <c r="I2" t="n">
        <v>2200</v>
      </c>
      <c r="J2" t="inlineStr">
        <is>
          <t>0.75</t>
        </is>
      </c>
      <c r="K2" t="inlineStr"/>
      <c r="L2">
        <f>G2*I2</f>
        <v/>
      </c>
      <c r="M2">
        <f>IF(OR(K2="",K2="Special Formula"), L2/(1-J2), L2*(1+J2))</f>
        <v/>
      </c>
      <c r="N2" t="inlineStr">
        <is>
          <t>95</t>
        </is>
      </c>
      <c r="O2" t="inlineStr">
        <is>
          <t>0</t>
        </is>
      </c>
    </row>
    <row r="3">
      <c r="A3" t="inlineStr">
        <is>
          <t>Demolition</t>
        </is>
      </c>
      <c r="B3" t="inlineStr">
        <is>
          <t>Bathroom 2</t>
        </is>
      </c>
      <c r="C3" t="inlineStr">
        <is>
          <t>Demolition</t>
        </is>
      </c>
      <c r="D3" t="inlineStr">
        <is>
          <t>bathroom demolition|UNIT|remove old fixtures tile vanity flooring and debris</t>
        </is>
      </c>
      <c r="E3" t="inlineStr">
        <is>
          <t>bathroom demolition</t>
        </is>
      </c>
      <c r="F3" t="inlineStr">
        <is>
          <t>remove old fixtures tile vanity flooring and debris</t>
        </is>
      </c>
      <c r="G3" t="n">
        <v>1</v>
      </c>
      <c r="H3" t="inlineStr">
        <is>
          <t>UNIT</t>
        </is>
      </c>
      <c r="I3" t="n">
        <v>2200</v>
      </c>
      <c r="J3" t="inlineStr">
        <is>
          <t>0.75</t>
        </is>
      </c>
      <c r="K3" t="inlineStr"/>
      <c r="L3">
        <f>G3*I3</f>
        <v/>
      </c>
      <c r="M3">
        <f>IF(OR(K3="",K3="Special Formula"), L3/(1-J3), L3*(1+J3))</f>
        <v/>
      </c>
      <c r="N3" t="inlineStr">
        <is>
          <t>95</t>
        </is>
      </c>
      <c r="O3" t="inlineStr">
        <is>
          <t>1</t>
        </is>
      </c>
    </row>
    <row r="4">
      <c r="A4" t="inlineStr">
        <is>
          <t>Demolition</t>
        </is>
      </c>
      <c r="B4" t="inlineStr">
        <is>
          <t>Kitchen</t>
        </is>
      </c>
      <c r="C4" t="inlineStr">
        <is>
          <t>Demolition</t>
        </is>
      </c>
      <c r="D4" t="inlineStr">
        <is>
          <t>kitchen demolition|SF|demolition of kitchen including removal of cabinets countertops appliances floor</t>
        </is>
      </c>
      <c r="E4" t="inlineStr">
        <is>
          <t>kitchen demolition</t>
        </is>
      </c>
      <c r="F4" t="inlineStr">
        <is>
          <t>demolition of kitchen including removal of cabinets countertops appliances flooring backsplash electrical disconnection plumbing disconnection debris removal and protection of adjacent areas</t>
        </is>
      </c>
      <c r="G4" t="n">
        <v>276</v>
      </c>
      <c r="H4" t="inlineStr">
        <is>
          <t>SF</t>
        </is>
      </c>
      <c r="I4" t="n">
        <v>7</v>
      </c>
      <c r="J4" t="inlineStr">
        <is>
          <t>0.75</t>
        </is>
      </c>
      <c r="K4" t="inlineStr"/>
      <c r="L4">
        <f>G4*I4</f>
        <v/>
      </c>
      <c r="M4">
        <f>IF(OR(K4="",K4="Special Formula"), L4/(1-J4), L4*(1+J4))</f>
        <v/>
      </c>
      <c r="N4" t="inlineStr">
        <is>
          <t>95</t>
        </is>
      </c>
      <c r="O4" t="inlineStr">
        <is>
          <t>2</t>
        </is>
      </c>
    </row>
    <row r="5">
      <c r="A5" t="inlineStr">
        <is>
          <t>Demolition</t>
        </is>
      </c>
      <c r="B5" t="inlineStr">
        <is>
          <t>Entry/Hallway</t>
        </is>
      </c>
      <c r="C5" t="inlineStr">
        <is>
          <t>Demolition</t>
        </is>
      </c>
      <c r="D5" t="inlineStr">
        <is>
          <t>entry flooring|SF|subfloor preparation flooring installation transition strips</t>
        </is>
      </c>
      <c r="E5" t="inlineStr">
        <is>
          <t>entry flooring</t>
        </is>
      </c>
      <c r="F5" t="inlineStr">
        <is>
          <t>subfloor preparation flooring installation transition strips</t>
        </is>
      </c>
      <c r="G5" t="n">
        <v>60</v>
      </c>
      <c r="H5" t="inlineStr">
        <is>
          <t>SF</t>
        </is>
      </c>
      <c r="I5" t="n">
        <v>6</v>
      </c>
      <c r="J5" t="inlineStr">
        <is>
          <t>0.75</t>
        </is>
      </c>
      <c r="K5" t="inlineStr"/>
      <c r="L5">
        <f>G5*I5</f>
        <v/>
      </c>
      <c r="M5">
        <f>IF(OR(K5="",K5="Special Formula"), L5/(1-J5), L5*(1+J5))</f>
        <v/>
      </c>
      <c r="N5" t="inlineStr">
        <is>
          <t>95</t>
        </is>
      </c>
      <c r="O5" t="inlineStr">
        <is>
          <t>3</t>
        </is>
      </c>
    </row>
    <row r="6">
      <c r="A6" t="inlineStr">
        <is>
          <t>Plumbing</t>
        </is>
      </c>
      <c r="B6" t="inlineStr">
        <is>
          <t>Bathroom 1</t>
        </is>
      </c>
      <c r="C6" t="inlineStr">
        <is>
          <t>Plumbing</t>
        </is>
      </c>
      <c r="D6" t="inlineStr">
        <is>
          <t>tub to shower conversion|UNIT|convert existing tub to a standing shower</t>
        </is>
      </c>
      <c r="E6" t="inlineStr">
        <is>
          <t>tub to shower conversion</t>
        </is>
      </c>
      <c r="F6" t="inlineStr">
        <is>
          <t>convert existing tub to a standing shower</t>
        </is>
      </c>
      <c r="G6" t="n">
        <v>1</v>
      </c>
      <c r="H6" t="inlineStr">
        <is>
          <t>UNIT</t>
        </is>
      </c>
      <c r="I6" t="n">
        <v>1375</v>
      </c>
      <c r="J6" t="inlineStr">
        <is>
          <t>0.75</t>
        </is>
      </c>
      <c r="K6" t="inlineStr"/>
      <c r="L6">
        <f>G6*I6</f>
        <v/>
      </c>
      <c r="M6">
        <f>IF(OR(K6="",K6="Special Formula"), L6/(1-J6), L6*(1+J6))</f>
        <v/>
      </c>
      <c r="N6" t="inlineStr">
        <is>
          <t>95</t>
        </is>
      </c>
      <c r="O6" t="inlineStr">
        <is>
          <t>4</t>
        </is>
      </c>
    </row>
    <row r="7">
      <c r="A7" t="inlineStr">
        <is>
          <t>Plumbing</t>
        </is>
      </c>
      <c r="B7" t="inlineStr">
        <is>
          <t>Bathroom 2</t>
        </is>
      </c>
      <c r="C7" t="inlineStr">
        <is>
          <t>Plumbing</t>
        </is>
      </c>
      <c r="D7" t="inlineStr">
        <is>
          <t>bathroom plumbing|UNIT|rough plumbing toilet installation sink installation shower tub installation sup</t>
        </is>
      </c>
      <c r="E7" t="inlineStr">
        <is>
          <t>bathroom plumbing</t>
        </is>
      </c>
      <c r="F7" t="inlineStr">
        <is>
          <t>rough plumbing toilet installation sink installation shower tub installation supply lines drain lines vent lines</t>
        </is>
      </c>
      <c r="G7" t="n">
        <v>1</v>
      </c>
      <c r="H7" t="inlineStr">
        <is>
          <t>UNIT</t>
        </is>
      </c>
      <c r="I7" t="n">
        <v>7700</v>
      </c>
      <c r="J7" t="inlineStr">
        <is>
          <t>0.75</t>
        </is>
      </c>
      <c r="K7" t="inlineStr"/>
      <c r="L7">
        <f>G7*I7</f>
        <v/>
      </c>
      <c r="M7">
        <f>IF(OR(K7="",K7="Special Formula"), L7/(1-J7), L7*(1+J7))</f>
        <v/>
      </c>
      <c r="N7" t="inlineStr">
        <is>
          <t>95</t>
        </is>
      </c>
      <c r="O7" t="inlineStr">
        <is>
          <t>5</t>
        </is>
      </c>
    </row>
    <row r="8">
      <c r="A8" t="inlineStr">
        <is>
          <t>Plumbing</t>
        </is>
      </c>
      <c r="B8" t="inlineStr">
        <is>
          <t>Kitchen</t>
        </is>
      </c>
      <c r="C8" t="inlineStr">
        <is>
          <t>Demolition</t>
        </is>
      </c>
      <c r="D8" t="inlineStr">
        <is>
          <t>kitchen plumbing|UNIT|demolition plumbing for existing location with 1 sink</t>
        </is>
      </c>
      <c r="E8" t="inlineStr">
        <is>
          <t>kitchen plumbing</t>
        </is>
      </c>
      <c r="F8" t="inlineStr">
        <is>
          <t>demolition plumbing for existing location with 1 sink</t>
        </is>
      </c>
      <c r="G8" t="n">
        <v>1</v>
      </c>
      <c r="H8" t="inlineStr">
        <is>
          <t>UNIT</t>
        </is>
      </c>
      <c r="I8" t="n">
        <v>3850</v>
      </c>
      <c r="J8" t="inlineStr">
        <is>
          <t>0.75</t>
        </is>
      </c>
      <c r="K8" t="inlineStr"/>
      <c r="L8">
        <f>G8*I8</f>
        <v/>
      </c>
      <c r="M8">
        <f>IF(OR(K8="",K8="Special Formula"), L8/(1-J8), L8*(1+J8))</f>
        <v/>
      </c>
      <c r="N8" t="inlineStr">
        <is>
          <t>95</t>
        </is>
      </c>
      <c r="O8" t="inlineStr">
        <is>
          <t>6</t>
        </is>
      </c>
    </row>
    <row r="9">
      <c r="A9" t="inlineStr">
        <is>
          <t>Electrical</t>
        </is>
      </c>
      <c r="B9" t="inlineStr">
        <is>
          <t>Bathroom 1</t>
        </is>
      </c>
      <c r="C9" t="inlineStr">
        <is>
          <t>Electrical</t>
        </is>
      </c>
      <c r="D9" t="inlineStr">
        <is>
          <t>bathroom electrical|UNIT|rough electrical vanity lighting exhaust fan installation gfci outlets switch in</t>
        </is>
      </c>
      <c r="E9" t="inlineStr">
        <is>
          <t>bathroom electrical</t>
        </is>
      </c>
      <c r="F9" t="inlineStr">
        <is>
          <t>rough electrical vanity lighting exhaust fan installation gfci outlets switch installation mirror lighting heated floor electrical</t>
        </is>
      </c>
      <c r="G9" t="n">
        <v>1</v>
      </c>
      <c r="H9" t="inlineStr">
        <is>
          <t>UNIT</t>
        </is>
      </c>
      <c r="I9" t="n">
        <v>3500</v>
      </c>
      <c r="J9" t="inlineStr">
        <is>
          <t>0.75</t>
        </is>
      </c>
      <c r="K9" t="inlineStr"/>
      <c r="L9">
        <f>G9*I9</f>
        <v/>
      </c>
      <c r="M9">
        <f>IF(OR(K9="",K9="Special Formula"), L9/(1-J9), L9*(1+J9))</f>
        <v/>
      </c>
      <c r="N9" t="inlineStr">
        <is>
          <t>95</t>
        </is>
      </c>
      <c r="O9" t="inlineStr">
        <is>
          <t>7</t>
        </is>
      </c>
    </row>
    <row r="10">
      <c r="A10" t="inlineStr">
        <is>
          <t>Electrical</t>
        </is>
      </c>
      <c r="B10" t="inlineStr">
        <is>
          <t>Bathroom 2</t>
        </is>
      </c>
      <c r="C10" t="inlineStr">
        <is>
          <t>Electrical</t>
        </is>
      </c>
      <c r="D10" t="inlineStr">
        <is>
          <t>bathroom electrical|UNIT|installation of bathroom electrical including vanity lighting and gfci outlets</t>
        </is>
      </c>
      <c r="E10" t="inlineStr">
        <is>
          <t>bathroom electrical</t>
        </is>
      </c>
      <c r="F10" t="inlineStr">
        <is>
          <t>installation of bathroom electrical including vanity lighting and gfci outlets</t>
        </is>
      </c>
      <c r="G10" t="n">
        <v>1</v>
      </c>
      <c r="H10" t="inlineStr">
        <is>
          <t>UNIT</t>
        </is>
      </c>
      <c r="I10" t="n">
        <v>3500</v>
      </c>
      <c r="J10" t="inlineStr">
        <is>
          <t>0.75</t>
        </is>
      </c>
      <c r="K10" t="inlineStr"/>
      <c r="L10">
        <f>G10*I10</f>
        <v/>
      </c>
      <c r="M10">
        <f>IF(OR(K10="",K10="Special Formula"), L10/(1-J10), L10*(1+J10))</f>
        <v/>
      </c>
      <c r="N10" t="inlineStr">
        <is>
          <t>90</t>
        </is>
      </c>
      <c r="O10" t="inlineStr">
        <is>
          <t>8</t>
        </is>
      </c>
    </row>
    <row r="11">
      <c r="A11" t="inlineStr">
        <is>
          <t>Electrical</t>
        </is>
      </c>
      <c r="B11" t="inlineStr">
        <is>
          <t>Kitchen</t>
        </is>
      </c>
      <c r="C11" t="inlineStr">
        <is>
          <t>Electrical</t>
        </is>
      </c>
      <c r="D11" t="inlineStr">
        <is>
          <t>kitchen electrical|UNIT|rewiring and installation of kitchen electrical including outlets gfci and light</t>
        </is>
      </c>
      <c r="E11" t="inlineStr">
        <is>
          <t>kitchen electrical</t>
        </is>
      </c>
      <c r="F11" t="inlineStr">
        <is>
          <t>rewiring and installation of kitchen electrical including outlets gfci and lighting</t>
        </is>
      </c>
      <c r="G11" t="n">
        <v>1</v>
      </c>
      <c r="H11" t="inlineStr">
        <is>
          <t>UNIT</t>
        </is>
      </c>
      <c r="I11" t="n">
        <v>3500</v>
      </c>
      <c r="J11" t="inlineStr">
        <is>
          <t>0.75</t>
        </is>
      </c>
      <c r="K11" t="inlineStr"/>
      <c r="L11">
        <f>G11*I11</f>
        <v/>
      </c>
      <c r="M11">
        <f>IF(OR(K11="",K11="Special Formula"), L11/(1-J11), L11*(1+J11))</f>
        <v/>
      </c>
      <c r="N11" t="inlineStr">
        <is>
          <t>90</t>
        </is>
      </c>
      <c r="O11" t="inlineStr">
        <is>
          <t>9</t>
        </is>
      </c>
    </row>
    <row r="12">
      <c r="A12" t="inlineStr">
        <is>
          <t>Electrical</t>
        </is>
      </c>
      <c r="B12" t="inlineStr">
        <is>
          <t>Bedroom 1</t>
        </is>
      </c>
      <c r="C12" t="inlineStr">
        <is>
          <t>Electrical</t>
        </is>
      </c>
      <c r="D12" t="inlineStr">
        <is>
          <t>bedroom electrical|UNIT|outlet installation switch installation light fixtures ceiling fans closet light</t>
        </is>
      </c>
      <c r="E12" t="inlineStr">
        <is>
          <t>bedroom electrical</t>
        </is>
      </c>
      <c r="F12" t="inlineStr">
        <is>
          <t>outlet installation switch installation light fixtures ceiling fans closet lighting bedside outlets usb outlets</t>
        </is>
      </c>
      <c r="G12" t="n">
        <v>1</v>
      </c>
      <c r="H12" t="inlineStr">
        <is>
          <t>UNIT</t>
        </is>
      </c>
      <c r="I12" t="n">
        <v>3500</v>
      </c>
      <c r="J12" t="inlineStr">
        <is>
          <t>0.75</t>
        </is>
      </c>
      <c r="K12" t="inlineStr"/>
      <c r="L12">
        <f>G12*I12</f>
        <v/>
      </c>
      <c r="M12">
        <f>IF(OR(K12="",K12="Special Formula"), L12/(1-J12), L12*(1+J12))</f>
        <v/>
      </c>
      <c r="N12" t="inlineStr">
        <is>
          <t>95</t>
        </is>
      </c>
      <c r="O12" t="inlineStr">
        <is>
          <t>10</t>
        </is>
      </c>
    </row>
    <row r="13">
      <c r="A13" t="inlineStr">
        <is>
          <t>Electrical</t>
        </is>
      </c>
      <c r="B13" t="inlineStr">
        <is>
          <t>Entry/Hallway</t>
        </is>
      </c>
      <c r="C13" t="inlineStr">
        <is>
          <t>Electrical</t>
        </is>
      </c>
      <c r="D13" t="inlineStr">
        <is>
          <t>entry electrical|UNIT|outlet installation switch installation light fixture installation</t>
        </is>
      </c>
      <c r="E13" t="inlineStr">
        <is>
          <t>entry electrical</t>
        </is>
      </c>
      <c r="F13" t="inlineStr">
        <is>
          <t>outlet installation switch installation light fixture installation</t>
        </is>
      </c>
      <c r="G13" t="n">
        <v>1</v>
      </c>
      <c r="H13" t="inlineStr">
        <is>
          <t>UNIT</t>
        </is>
      </c>
      <c r="I13" t="n">
        <v>3500</v>
      </c>
      <c r="J13" t="inlineStr">
        <is>
          <t>0.75</t>
        </is>
      </c>
      <c r="K13" t="inlineStr"/>
      <c r="L13">
        <f>G13*I13</f>
        <v/>
      </c>
      <c r="M13">
        <f>IF(OR(K13="",K13="Special Formula"), L13/(1-J13), L13*(1+J13))</f>
        <v/>
      </c>
      <c r="N13" t="inlineStr">
        <is>
          <t>95</t>
        </is>
      </c>
      <c r="O13" t="inlineStr">
        <is>
          <t>11</t>
        </is>
      </c>
    </row>
    <row r="14">
      <c r="A14" t="inlineStr">
        <is>
          <t>Electrical</t>
        </is>
      </c>
      <c r="B14" t="inlineStr">
        <is>
          <t>Living Room</t>
        </is>
      </c>
      <c r="C14" t="inlineStr">
        <is>
          <t>Electrical</t>
        </is>
      </c>
      <c r="D14" t="inlineStr">
        <is>
          <t xml:space="preserve">living room electrical|UNIT|outlet installation switch installation light fixture installation ceiling fans </t>
        </is>
      </c>
      <c r="E14" t="inlineStr">
        <is>
          <t>living room electrical</t>
        </is>
      </c>
      <c r="F14" t="inlineStr">
        <is>
          <t>outlet installation switch installation light fixture installation ceiling fans dimmer switches floor outlets wall sconces</t>
        </is>
      </c>
      <c r="G14" t="n">
        <v>1</v>
      </c>
      <c r="H14" t="inlineStr">
        <is>
          <t>UNIT</t>
        </is>
      </c>
      <c r="I14" t="n">
        <v>3500</v>
      </c>
      <c r="J14" t="inlineStr">
        <is>
          <t>0.75</t>
        </is>
      </c>
      <c r="K14" t="inlineStr"/>
      <c r="L14">
        <f>G14*I14</f>
        <v/>
      </c>
      <c r="M14">
        <f>IF(OR(K14="",K14="Special Formula"), L14/(1-J14), L14*(1+J14))</f>
        <v/>
      </c>
      <c r="N14" t="inlineStr">
        <is>
          <t>95</t>
        </is>
      </c>
      <c r="O14" t="inlineStr">
        <is>
          <t>12</t>
        </is>
      </c>
    </row>
    <row r="15">
      <c r="A15" t="inlineStr">
        <is>
          <t>Electrical</t>
        </is>
      </c>
      <c r="B15" t="inlineStr">
        <is>
          <t>Bedroom 2</t>
        </is>
      </c>
      <c r="C15" t="inlineStr">
        <is>
          <t>Electrical</t>
        </is>
      </c>
      <c r="D15" t="inlineStr">
        <is>
          <t>bedroom electrical|UNIT|installation of outlets switches and light fixtures</t>
        </is>
      </c>
      <c r="E15" t="inlineStr">
        <is>
          <t>bedroom electrical</t>
        </is>
      </c>
      <c r="F15" t="inlineStr">
        <is>
          <t>installation of outlets switches and light fixtures</t>
        </is>
      </c>
      <c r="G15" t="n">
        <v>1</v>
      </c>
      <c r="H15" t="inlineStr">
        <is>
          <t>UNIT</t>
        </is>
      </c>
      <c r="I15" t="n">
        <v>3500</v>
      </c>
      <c r="J15" t="inlineStr">
        <is>
          <t>0.75</t>
        </is>
      </c>
      <c r="K15" t="inlineStr"/>
      <c r="L15">
        <f>G15*I15</f>
        <v/>
      </c>
      <c r="M15">
        <f>IF(OR(K15="",K15="Special Formula"), L15/(1-J15), L15*(1+J15))</f>
        <v/>
      </c>
      <c r="N15" t="inlineStr">
        <is>
          <t>90</t>
        </is>
      </c>
      <c r="O15" t="inlineStr">
        <is>
          <t>13</t>
        </is>
      </c>
    </row>
    <row r="16">
      <c r="A16" t="inlineStr">
        <is>
          <t>Tile</t>
        </is>
      </c>
      <c r="B16" t="inlineStr">
        <is>
          <t>Bathroom 1</t>
        </is>
      </c>
      <c r="C16" t="inlineStr">
        <is>
          <t>Plumbing</t>
        </is>
      </c>
      <c r="D16" t="inlineStr">
        <is>
          <t>bathroom tile work|SF|floor tile preparation floor tile installation wall tile installation shower til</t>
        </is>
      </c>
      <c r="E16" t="inlineStr">
        <is>
          <t>bathroom tile work</t>
        </is>
      </c>
      <c r="F16" t="inlineStr">
        <is>
          <t>floor tile preparation floor tile installation wall tile installation shower tile grout installation tile sealing</t>
        </is>
      </c>
      <c r="G16" t="n">
        <v>60</v>
      </c>
      <c r="H16" t="inlineStr">
        <is>
          <t>SF</t>
        </is>
      </c>
      <c r="I16" t="n">
        <v>2600</v>
      </c>
      <c r="J16" t="inlineStr">
        <is>
          <t>0.80</t>
        </is>
      </c>
      <c r="K16" t="inlineStr"/>
      <c r="L16">
        <f>G16*I16</f>
        <v/>
      </c>
      <c r="M16">
        <f>IF(OR(K16="",K16="Special Formula"), L16/(1-J16), L16*(1+J16))</f>
        <v/>
      </c>
      <c r="N16" t="inlineStr">
        <is>
          <t>95</t>
        </is>
      </c>
      <c r="O16" t="inlineStr">
        <is>
          <t>14</t>
        </is>
      </c>
    </row>
    <row r="17">
      <c r="A17" t="inlineStr">
        <is>
          <t>Tile</t>
        </is>
      </c>
      <c r="B17" t="inlineStr">
        <is>
          <t>Bathroom 2</t>
        </is>
      </c>
      <c r="C17" t="inlineStr">
        <is>
          <t>Tile Work</t>
        </is>
      </c>
      <c r="D17" t="inlineStr">
        <is>
          <t>bathroom tile work|SF|installation of bathroom floor and wall tiles</t>
        </is>
      </c>
      <c r="E17" t="inlineStr">
        <is>
          <t>bathroom tile work</t>
        </is>
      </c>
      <c r="F17" t="inlineStr">
        <is>
          <t>installation of bathroom floor and wall tiles</t>
        </is>
      </c>
      <c r="G17" t="n">
        <v>34</v>
      </c>
      <c r="H17" t="inlineStr">
        <is>
          <t>SF</t>
        </is>
      </c>
      <c r="I17" t="n">
        <v>2600</v>
      </c>
      <c r="J17" t="inlineStr">
        <is>
          <t>0.80</t>
        </is>
      </c>
      <c r="K17" t="inlineStr"/>
      <c r="L17">
        <f>G17*I17</f>
        <v/>
      </c>
      <c r="M17">
        <f>IF(OR(K17="",K17="Special Formula"), L17/(1-J17), L17*(1+J17))</f>
        <v/>
      </c>
      <c r="N17" t="inlineStr">
        <is>
          <t>95</t>
        </is>
      </c>
      <c r="O17" t="inlineStr">
        <is>
          <t>15</t>
        </is>
      </c>
    </row>
    <row r="18">
      <c r="A18" t="inlineStr">
        <is>
          <t>Walls &amp; Ceiling</t>
        </is>
      </c>
      <c r="B18" t="inlineStr">
        <is>
          <t>Bathroom 1</t>
        </is>
      </c>
      <c r="C18" t="inlineStr">
        <is>
          <t>Fixtures</t>
        </is>
      </c>
      <c r="D18" t="inlineStr">
        <is>
          <t>wall to wall mirror installation|UNIT|install a wall to wall mirror</t>
        </is>
      </c>
      <c r="E18" t="inlineStr">
        <is>
          <t>wall to wall mirror installation</t>
        </is>
      </c>
      <c r="F18" t="inlineStr">
        <is>
          <t>install a wall to wall mirror</t>
        </is>
      </c>
      <c r="G18" t="n">
        <v>1</v>
      </c>
      <c r="H18" t="inlineStr">
        <is>
          <t>UNIT</t>
        </is>
      </c>
      <c r="I18" t="n">
        <v>1200</v>
      </c>
      <c r="J18" t="inlineStr">
        <is>
          <t>0.75</t>
        </is>
      </c>
      <c r="K18" t="inlineStr"/>
      <c r="L18">
        <f>G18*I18</f>
        <v/>
      </c>
      <c r="M18">
        <f>IF(OR(K18="",K18="Special Formula"), L18/(1-J18), L18*(1+J18))</f>
        <v/>
      </c>
      <c r="N18" t="inlineStr">
        <is>
          <t>85</t>
        </is>
      </c>
      <c r="O18" t="inlineStr">
        <is>
          <t>16</t>
        </is>
      </c>
    </row>
    <row r="19">
      <c r="A19" t="inlineStr">
        <is>
          <t>Walls &amp; Ceiling</t>
        </is>
      </c>
      <c r="B19" t="inlineStr">
        <is>
          <t>Bedroom 1</t>
        </is>
      </c>
      <c r="C19" t="inlineStr">
        <is>
          <t>Other</t>
        </is>
      </c>
      <c r="D19" t="inlineStr">
        <is>
          <t>dropped ceiling installation|SF|install new dropped ceiling in bedroom 1</t>
        </is>
      </c>
      <c r="E19" t="inlineStr">
        <is>
          <t>dropped ceiling installation</t>
        </is>
      </c>
      <c r="F19" t="inlineStr">
        <is>
          <t>install new dropped ceiling in bedroom 1</t>
        </is>
      </c>
      <c r="G19" t="n">
        <v>189.5</v>
      </c>
      <c r="H19" t="inlineStr">
        <is>
          <t>SF</t>
        </is>
      </c>
      <c r="I19" t="n">
        <v>9</v>
      </c>
      <c r="J19" t="inlineStr">
        <is>
          <t>0.75</t>
        </is>
      </c>
      <c r="K19" t="inlineStr"/>
      <c r="L19">
        <f>G19*I19</f>
        <v/>
      </c>
      <c r="M19">
        <f>IF(OR(K19="",K19="Special Formula"), L19/(1-J19), L19*(1+J19))</f>
        <v/>
      </c>
      <c r="N19" t="inlineStr">
        <is>
          <t>90</t>
        </is>
      </c>
      <c r="O19" t="inlineStr">
        <is>
          <t>17</t>
        </is>
      </c>
    </row>
    <row r="20">
      <c r="A20" t="inlineStr">
        <is>
          <t>Walls &amp; Ceiling</t>
        </is>
      </c>
      <c r="B20" t="inlineStr">
        <is>
          <t>Living Room</t>
        </is>
      </c>
      <c r="C20" t="inlineStr">
        <is>
          <t>Other</t>
        </is>
      </c>
      <c r="D20" t="inlineStr">
        <is>
          <t>dropped ceiling installation|SF|install new dropped ceiling in the living room</t>
        </is>
      </c>
      <c r="E20" t="inlineStr">
        <is>
          <t>dropped ceiling installation</t>
        </is>
      </c>
      <c r="F20" t="inlineStr">
        <is>
          <t>install new dropped ceiling in the living room</t>
        </is>
      </c>
      <c r="G20" t="n">
        <v>244.5</v>
      </c>
      <c r="H20" t="inlineStr">
        <is>
          <t>SF</t>
        </is>
      </c>
      <c r="I20" t="n">
        <v>9</v>
      </c>
      <c r="J20" t="inlineStr">
        <is>
          <t>0.75</t>
        </is>
      </c>
      <c r="K20" t="inlineStr"/>
      <c r="L20">
        <f>G20*I20</f>
        <v/>
      </c>
      <c r="M20">
        <f>IF(OR(K20="",K20="Special Formula"), L20/(1-J20), L20*(1+J20))</f>
        <v/>
      </c>
      <c r="N20" t="inlineStr">
        <is>
          <t>90</t>
        </is>
      </c>
      <c r="O20" t="inlineStr">
        <is>
          <t>18</t>
        </is>
      </c>
    </row>
    <row r="21">
      <c r="A21" t="inlineStr">
        <is>
          <t>Walls &amp; Ceiling</t>
        </is>
      </c>
      <c r="B21" t="inlineStr">
        <is>
          <t>Bedroom 2</t>
        </is>
      </c>
      <c r="C21" t="inlineStr">
        <is>
          <t>Other</t>
        </is>
      </c>
      <c r="D21" t="inlineStr">
        <is>
          <t>dropped ceiling installation|SF|install new dropped ceiling in bedroom 2</t>
        </is>
      </c>
      <c r="E21" t="inlineStr">
        <is>
          <t>dropped ceiling installation</t>
        </is>
      </c>
      <c r="F21" t="inlineStr">
        <is>
          <t>install new dropped ceiling in bedroom 2</t>
        </is>
      </c>
      <c r="G21" t="n">
        <v>110.6</v>
      </c>
      <c r="H21" t="inlineStr">
        <is>
          <t>SF</t>
        </is>
      </c>
      <c r="I21" t="n">
        <v>9</v>
      </c>
      <c r="J21" t="inlineStr">
        <is>
          <t>0.75</t>
        </is>
      </c>
      <c r="K21" t="inlineStr"/>
      <c r="L21">
        <f>G21*I21</f>
        <v/>
      </c>
      <c r="M21">
        <f>IF(OR(K21="",K21="Special Formula"), L21/(1-J21), L21*(1+J21))</f>
        <v/>
      </c>
      <c r="N21" t="inlineStr">
        <is>
          <t>90</t>
        </is>
      </c>
      <c r="O21" t="inlineStr">
        <is>
          <t>19</t>
        </is>
      </c>
    </row>
    <row r="22">
      <c r="A22" t="inlineStr">
        <is>
          <t>Cabinetry &amp; Storage</t>
        </is>
      </c>
      <c r="B22" t="inlineStr">
        <is>
          <t>Kitchen</t>
        </is>
      </c>
      <c r="C22" t="inlineStr">
        <is>
          <t>Trim</t>
        </is>
      </c>
      <c r="D22" t="inlineStr">
        <is>
          <t>kitchen cabinets|LF|installation of base and wall cabinets crown molding cabinet hardware soft close</t>
        </is>
      </c>
      <c r="E22" t="inlineStr">
        <is>
          <t>kitchen cabinets</t>
        </is>
      </c>
      <c r="F22" t="inlineStr">
        <is>
          <t>installation of base and wall cabinets crown molding cabinet hardware soft close hinges drawer slides</t>
        </is>
      </c>
      <c r="G22" t="n">
        <v>11</v>
      </c>
      <c r="H22" t="inlineStr">
        <is>
          <t>LF</t>
        </is>
      </c>
      <c r="I22" t="n">
        <v>850</v>
      </c>
      <c r="J22" t="inlineStr">
        <is>
          <t>0.75</t>
        </is>
      </c>
      <c r="K22" t="inlineStr"/>
      <c r="L22">
        <f>G22*I22</f>
        <v/>
      </c>
      <c r="M22">
        <f>IF(OR(K22="",K22="Special Formula"), L22/(1-J22), L22*(1+J22))</f>
        <v/>
      </c>
      <c r="N22" t="inlineStr">
        <is>
          <t>95</t>
        </is>
      </c>
      <c r="O22" t="inlineStr">
        <is>
          <t>20</t>
        </is>
      </c>
    </row>
    <row r="23">
      <c r="A23" t="inlineStr">
        <is>
          <t>Flooring</t>
        </is>
      </c>
      <c r="B23" t="inlineStr">
        <is>
          <t>Kitchen</t>
        </is>
      </c>
      <c r="C23" t="inlineStr">
        <is>
          <t>Flooring</t>
        </is>
      </c>
      <c r="D23" t="inlineStr">
        <is>
          <t>kitchen flooring|SF|install new engineered flooring approximately 100 square feet</t>
        </is>
      </c>
      <c r="E23" t="inlineStr">
        <is>
          <t>kitchen flooring</t>
        </is>
      </c>
      <c r="F23" t="inlineStr">
        <is>
          <t>install new engineered flooring approximately 100 square feet</t>
        </is>
      </c>
      <c r="G23" t="n">
        <v>100</v>
      </c>
      <c r="H23" t="inlineStr">
        <is>
          <t>SF</t>
        </is>
      </c>
      <c r="I23" t="n">
        <v>6</v>
      </c>
      <c r="J23" t="inlineStr">
        <is>
          <t>0.75</t>
        </is>
      </c>
      <c r="K23" t="inlineStr"/>
      <c r="L23">
        <f>G23*I23</f>
        <v/>
      </c>
      <c r="M23">
        <f>IF(OR(K23="",K23="Special Formula"), L23/(1-J23), L23*(1+J23))</f>
        <v/>
      </c>
      <c r="N23" t="inlineStr">
        <is>
          <t>90</t>
        </is>
      </c>
      <c r="O23" t="inlineStr">
        <is>
          <t>21</t>
        </is>
      </c>
    </row>
    <row r="24">
      <c r="A24" t="inlineStr">
        <is>
          <t>Flooring</t>
        </is>
      </c>
      <c r="B24" t="inlineStr">
        <is>
          <t>Bedroom 1</t>
        </is>
      </c>
      <c r="C24" t="inlineStr">
        <is>
          <t>Flooring</t>
        </is>
      </c>
      <c r="D24" t="inlineStr">
        <is>
          <t>floor refinishing|SF|sand and refinish existing wood flooring</t>
        </is>
      </c>
      <c r="E24" t="inlineStr">
        <is>
          <t>floor refinishing</t>
        </is>
      </c>
      <c r="F24" t="inlineStr">
        <is>
          <t>sand and refinish existing wood flooring</t>
        </is>
      </c>
      <c r="G24" t="n">
        <v>189.5</v>
      </c>
      <c r="H24" t="inlineStr">
        <is>
          <t>SF</t>
        </is>
      </c>
      <c r="I24" t="n">
        <v>5</v>
      </c>
      <c r="J24" t="inlineStr">
        <is>
          <t>0.75</t>
        </is>
      </c>
      <c r="K24" t="inlineStr"/>
      <c r="L24">
        <f>G24*I24</f>
        <v/>
      </c>
      <c r="M24">
        <f>IF(OR(K24="",K24="Special Formula"), L24/(1-J24), L24*(1+J24))</f>
        <v/>
      </c>
      <c r="N24" t="inlineStr">
        <is>
          <t>90</t>
        </is>
      </c>
      <c r="O24" t="inlineStr">
        <is>
          <t>22</t>
        </is>
      </c>
    </row>
    <row r="25">
      <c r="A25" t="inlineStr">
        <is>
          <t>Flooring</t>
        </is>
      </c>
      <c r="B25" t="inlineStr">
        <is>
          <t>Living Room</t>
        </is>
      </c>
      <c r="C25" t="inlineStr">
        <is>
          <t>Flooring</t>
        </is>
      </c>
      <c r="D25" t="inlineStr">
        <is>
          <t>living room flooring|SF|install new hardwood flooring approximately 244 5 square feet</t>
        </is>
      </c>
      <c r="E25" t="inlineStr">
        <is>
          <t>living room flooring</t>
        </is>
      </c>
      <c r="F25" t="inlineStr">
        <is>
          <t>install new hardwood flooring approximately 244 5 square feet</t>
        </is>
      </c>
      <c r="G25" t="n">
        <v>244.5</v>
      </c>
      <c r="H25" t="inlineStr">
        <is>
          <t>SF</t>
        </is>
      </c>
      <c r="I25" t="n">
        <v>6</v>
      </c>
      <c r="J25" t="inlineStr">
        <is>
          <t>0.75</t>
        </is>
      </c>
      <c r="K25" t="inlineStr"/>
      <c r="L25">
        <f>G25*I25</f>
        <v/>
      </c>
      <c r="M25">
        <f>IF(OR(K25="",K25="Special Formula"), L25/(1-J25), L25*(1+J25))</f>
        <v/>
      </c>
      <c r="N25" t="inlineStr">
        <is>
          <t>90</t>
        </is>
      </c>
      <c r="O25" t="inlineStr">
        <is>
          <t>23</t>
        </is>
      </c>
    </row>
    <row r="26">
      <c r="A26" t="inlineStr">
        <is>
          <t>Flooring</t>
        </is>
      </c>
      <c r="B26" t="inlineStr">
        <is>
          <t>Bedroom 2</t>
        </is>
      </c>
      <c r="C26" t="inlineStr">
        <is>
          <t>Flooring</t>
        </is>
      </c>
      <c r="D26" t="inlineStr">
        <is>
          <t>floor refinishing|SF|sand and refinish existing wood flooring in bedroom 2</t>
        </is>
      </c>
      <c r="E26" t="inlineStr">
        <is>
          <t>floor refinishing</t>
        </is>
      </c>
      <c r="F26" t="inlineStr">
        <is>
          <t>sand and refinish existing wood flooring in bedroom 2</t>
        </is>
      </c>
      <c r="G26" t="n">
        <v>110.6</v>
      </c>
      <c r="H26" t="inlineStr">
        <is>
          <t>SF</t>
        </is>
      </c>
      <c r="I26" t="n">
        <v>5</v>
      </c>
      <c r="J26" t="inlineStr">
        <is>
          <t>0.75</t>
        </is>
      </c>
      <c r="K26" t="inlineStr"/>
      <c r="L26">
        <f>G26*I26</f>
        <v/>
      </c>
      <c r="M26">
        <f>IF(OR(K26="",K26="Special Formula"), L26/(1-J26), L26*(1+J26))</f>
        <v/>
      </c>
      <c r="N26" t="inlineStr">
        <is>
          <t>90</t>
        </is>
      </c>
      <c r="O26" t="inlineStr">
        <is>
          <t>24</t>
        </is>
      </c>
    </row>
    <row r="27">
      <c r="A27" t="inlineStr">
        <is>
          <t>Countertops</t>
        </is>
      </c>
      <c r="B27" t="inlineStr">
        <is>
          <t>Kitchen</t>
        </is>
      </c>
      <c r="C27" t="inlineStr">
        <is>
          <t>Countertops</t>
        </is>
      </c>
      <c r="D27" t="inlineStr">
        <is>
          <t>kitchen countertops|SF|fabricate and install quartz countertops</t>
        </is>
      </c>
      <c r="E27" t="inlineStr">
        <is>
          <t>kitchen countertops</t>
        </is>
      </c>
      <c r="F27" t="inlineStr">
        <is>
          <t>fabricate and install quartz countertops</t>
        </is>
      </c>
      <c r="G27" t="n">
        <v>45</v>
      </c>
      <c r="H27" t="inlineStr">
        <is>
          <t>SF</t>
        </is>
      </c>
      <c r="I27" t="n">
        <v>97</v>
      </c>
      <c r="J27" t="inlineStr">
        <is>
          <t>0.75</t>
        </is>
      </c>
      <c r="K27" t="inlineStr"/>
      <c r="L27">
        <f>G27*I27</f>
        <v/>
      </c>
      <c r="M27">
        <f>IF(OR(K27="",K27="Special Formula"), L27/(1-J27), L27*(1+J27))</f>
        <v/>
      </c>
      <c r="N27" t="inlineStr">
        <is>
          <t>95</t>
        </is>
      </c>
      <c r="O27" t="inlineStr">
        <is>
          <t>25</t>
        </is>
      </c>
    </row>
    <row r="28">
      <c r="A28" t="inlineStr">
        <is>
          <t>Backsplash</t>
        </is>
      </c>
      <c r="B28" t="inlineStr">
        <is>
          <t>Kitchen</t>
        </is>
      </c>
      <c r="C28" t="inlineStr">
        <is>
          <t>Backsplash</t>
        </is>
      </c>
      <c r="D28" t="inlineStr">
        <is>
          <t>kitchen backsplash||tile preparation tile installation grout installation tile sealing trim tiles</t>
        </is>
      </c>
      <c r="E28" t="inlineStr">
        <is>
          <t>kitchen backsplash</t>
        </is>
      </c>
      <c r="F28" t="inlineStr">
        <is>
          <t>tile preparation tile installation grout installation tile sealing trim tiles</t>
        </is>
      </c>
      <c r="G28" t="n">
        <v>0</v>
      </c>
      <c r="H28" t="inlineStr"/>
      <c r="I28" t="n">
        <v>1650</v>
      </c>
      <c r="J28" t="inlineStr">
        <is>
          <t>0.80</t>
        </is>
      </c>
      <c r="K28" t="inlineStr"/>
      <c r="L28">
        <f>G28*I28</f>
        <v/>
      </c>
      <c r="M28">
        <f>IF(OR(K28="",K28="Special Formula"), L28/(1-J28), L28*(1+J28))</f>
        <v/>
      </c>
      <c r="N28" t="inlineStr">
        <is>
          <t>95</t>
        </is>
      </c>
      <c r="O28" t="inlineStr">
        <is>
          <t>26</t>
        </is>
      </c>
    </row>
    <row r="29">
      <c r="A29" t="inlineStr">
        <is>
          <t>Painting &amp; Wall Coverings</t>
        </is>
      </c>
      <c r="B29" t="inlineStr">
        <is>
          <t>Entire Apartment</t>
        </is>
      </c>
      <c r="C29" t="inlineStr">
        <is>
          <t>Painting</t>
        </is>
      </c>
      <c r="D29" t="inlineStr">
        <is>
          <t>repaint apartment|SF|repaint entire apartment including walls and ceilings</t>
        </is>
      </c>
      <c r="E29" t="inlineStr">
        <is>
          <t>repaint apartment</t>
        </is>
      </c>
      <c r="F29" t="inlineStr">
        <is>
          <t>repaint entire apartment including walls and ceilings</t>
        </is>
      </c>
      <c r="G29" t="n">
        <v>983.6</v>
      </c>
      <c r="H29" t="inlineStr">
        <is>
          <t>SF</t>
        </is>
      </c>
      <c r="I29" t="n">
        <v>10.3</v>
      </c>
      <c r="J29" t="inlineStr">
        <is>
          <t>0.75</t>
        </is>
      </c>
      <c r="K29" t="inlineStr"/>
      <c r="L29">
        <f>G29*I29</f>
        <v/>
      </c>
      <c r="M29">
        <f>IF(OR(K29="",K29="Special Formula"), L29/(1-J29), L29*(1+J29))</f>
        <v/>
      </c>
      <c r="N29" t="inlineStr">
        <is>
          <t>90</t>
        </is>
      </c>
      <c r="O29" t="inlineStr">
        <is>
          <t>27</t>
        </is>
      </c>
    </row>
    <row r="30">
      <c r="A30" t="inlineStr">
        <is>
          <t>Trims</t>
        </is>
      </c>
      <c r="B30" t="inlineStr">
        <is>
          <t>Entire Apartment</t>
        </is>
      </c>
      <c r="C30" t="inlineStr">
        <is>
          <t>Trim</t>
        </is>
      </c>
      <c r="D30" t="inlineStr">
        <is>
          <t>replace all baseboards|LF|replace all baseboards throughout the apartment</t>
        </is>
      </c>
      <c r="E30" t="inlineStr">
        <is>
          <t>replace all baseboards</t>
        </is>
      </c>
      <c r="F30" t="inlineStr">
        <is>
          <t>replace all baseboards throughout the apartment</t>
        </is>
      </c>
      <c r="G30" t="n">
        <v>983.6</v>
      </c>
      <c r="H30" t="inlineStr">
        <is>
          <t>LF</t>
        </is>
      </c>
      <c r="I30" t="n">
        <v>5</v>
      </c>
      <c r="J30" t="inlineStr">
        <is>
          <t>0.75</t>
        </is>
      </c>
      <c r="K30" t="inlineStr"/>
      <c r="L30">
        <f>G30*I30</f>
        <v/>
      </c>
      <c r="M30">
        <f>IF(OR(K30="",K30="Special Formula"), L30/(1-J30), L30*(1+J30))</f>
        <v/>
      </c>
      <c r="N30" t="inlineStr">
        <is>
          <t>90</t>
        </is>
      </c>
      <c r="O30" t="inlineStr">
        <is>
          <t>28</t>
        </is>
      </c>
    </row>
    <row r="31">
      <c r="A31" t="inlineStr">
        <is>
          <t>General Requirements</t>
        </is>
      </c>
      <c r="B31" t="inlineStr">
        <is>
          <t>Entire Apartment</t>
        </is>
      </c>
      <c r="C31" t="inlineStr">
        <is>
          <t>Cleaning</t>
        </is>
      </c>
      <c r="D31" t="inlineStr">
        <is>
          <t>commercial cleaning|UNIT|post construction cleaning for entire apartment</t>
        </is>
      </c>
      <c r="E31" t="inlineStr">
        <is>
          <t>commercial cleaning</t>
        </is>
      </c>
      <c r="F31" t="inlineStr">
        <is>
          <t>post construction cleaning for entire apartment</t>
        </is>
      </c>
      <c r="G31" t="n">
        <v>1</v>
      </c>
      <c r="H31" t="inlineStr">
        <is>
          <t>UNIT</t>
        </is>
      </c>
      <c r="I31" t="n">
        <v>1925</v>
      </c>
      <c r="J31" t="inlineStr">
        <is>
          <t>0.75</t>
        </is>
      </c>
      <c r="K31" t="inlineStr"/>
      <c r="L31">
        <f>G31*I31</f>
        <v/>
      </c>
      <c r="M31">
        <f>IF(OR(K31="",K31="Special Formula"), L31/(1-J31), L31*(1+J31))</f>
        <v/>
      </c>
      <c r="N31" t="inlineStr">
        <is>
          <t>95</t>
        </is>
      </c>
      <c r="O31" t="inlineStr">
        <is>
          <t>29</t>
        </is>
      </c>
    </row>
    <row r="32">
      <c r="A32" t="inlineStr">
        <is>
          <t>Doors</t>
        </is>
      </c>
      <c r="B32" t="inlineStr">
        <is>
          <t>Entire Apartment</t>
        </is>
      </c>
      <c r="C32" t="inlineStr">
        <is>
          <t>Other</t>
        </is>
      </c>
      <c r="D32" t="inlineStr">
        <is>
          <t>replace all doors|UNIT|replace all interior doors with standard prehung doors</t>
        </is>
      </c>
      <c r="E32" t="inlineStr">
        <is>
          <t>replace all doors</t>
        </is>
      </c>
      <c r="F32" t="inlineStr">
        <is>
          <t>replace all interior doors with standard prehung doors</t>
        </is>
      </c>
      <c r="G32" t="n">
        <v>8</v>
      </c>
      <c r="H32" t="inlineStr">
        <is>
          <t>UNIT</t>
        </is>
      </c>
      <c r="I32" t="n">
        <v>550</v>
      </c>
      <c r="J32" t="inlineStr">
        <is>
          <t>0.75</t>
        </is>
      </c>
      <c r="K32" t="inlineStr"/>
      <c r="L32">
        <f>G32*I32</f>
        <v/>
      </c>
      <c r="M32">
        <f>IF(OR(K32="",K32="Special Formula"), L32/(1-J32), L32*(1+J32))</f>
        <v/>
      </c>
      <c r="N32" t="inlineStr">
        <is>
          <t>90</t>
        </is>
      </c>
      <c r="O32" t="inlineStr">
        <is>
          <t>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Backsplash</t>
        </is>
      </c>
      <c r="B2" t="inlineStr">
        <is>
          <t>Kitchen</t>
        </is>
      </c>
      <c r="C2" t="inlineStr">
        <is>
          <t>Backsplash</t>
        </is>
      </c>
      <c r="D2" t="n">
        <v>0</v>
      </c>
      <c r="E2" t="n">
        <v>0</v>
      </c>
    </row>
    <row r="3">
      <c r="A3" t="inlineStr">
        <is>
          <t>Cabinetry &amp; Storage</t>
        </is>
      </c>
      <c r="B3" t="inlineStr">
        <is>
          <t>Kitchen</t>
        </is>
      </c>
      <c r="C3" t="inlineStr">
        <is>
          <t>Trim</t>
        </is>
      </c>
      <c r="D3" t="n">
        <v>9350</v>
      </c>
      <c r="E3" t="n">
        <v>37400</v>
      </c>
    </row>
    <row r="4">
      <c r="A4" t="inlineStr">
        <is>
          <t>Countertops</t>
        </is>
      </c>
      <c r="B4" t="inlineStr">
        <is>
          <t>Kitchen</t>
        </is>
      </c>
      <c r="C4" t="inlineStr">
        <is>
          <t>Countertops</t>
        </is>
      </c>
      <c r="D4" t="n">
        <v>4365</v>
      </c>
      <c r="E4" t="n">
        <v>17460</v>
      </c>
    </row>
    <row r="5">
      <c r="A5" t="inlineStr">
        <is>
          <t>Demolition</t>
        </is>
      </c>
      <c r="B5" t="inlineStr">
        <is>
          <t>Bathroom 1</t>
        </is>
      </c>
      <c r="C5" t="inlineStr">
        <is>
          <t>Demolition</t>
        </is>
      </c>
      <c r="D5" t="n">
        <v>2200</v>
      </c>
      <c r="E5" t="n">
        <v>8800</v>
      </c>
    </row>
    <row r="6">
      <c r="A6" t="inlineStr">
        <is>
          <t>Demolition</t>
        </is>
      </c>
      <c r="B6" t="inlineStr">
        <is>
          <t>Bathroom 2</t>
        </is>
      </c>
      <c r="C6" t="inlineStr">
        <is>
          <t>Demolition</t>
        </is>
      </c>
      <c r="D6" t="n">
        <v>2200</v>
      </c>
      <c r="E6" t="n">
        <v>8800</v>
      </c>
    </row>
    <row r="7">
      <c r="A7" t="inlineStr">
        <is>
          <t>Demolition</t>
        </is>
      </c>
      <c r="B7" t="inlineStr">
        <is>
          <t>Entry/Hallway</t>
        </is>
      </c>
      <c r="C7" t="inlineStr">
        <is>
          <t>Demolition</t>
        </is>
      </c>
      <c r="D7" t="n">
        <v>360</v>
      </c>
      <c r="E7" t="n">
        <v>1440</v>
      </c>
    </row>
    <row r="8">
      <c r="A8" t="inlineStr">
        <is>
          <t>Demolition</t>
        </is>
      </c>
      <c r="B8" t="inlineStr">
        <is>
          <t>Kitchen</t>
        </is>
      </c>
      <c r="C8" t="inlineStr">
        <is>
          <t>Demolition</t>
        </is>
      </c>
      <c r="D8" t="n">
        <v>1932</v>
      </c>
      <c r="E8" t="n">
        <v>7728</v>
      </c>
    </row>
    <row r="9">
      <c r="A9" t="inlineStr">
        <is>
          <t>Doors</t>
        </is>
      </c>
      <c r="B9" t="inlineStr">
        <is>
          <t>Entire Apartment</t>
        </is>
      </c>
      <c r="C9" t="inlineStr">
        <is>
          <t>Other</t>
        </is>
      </c>
      <c r="D9" t="n">
        <v>4400</v>
      </c>
      <c r="E9" t="n">
        <v>17600</v>
      </c>
    </row>
    <row r="10">
      <c r="A10" t="inlineStr">
        <is>
          <t>Electrical</t>
        </is>
      </c>
      <c r="B10" t="inlineStr">
        <is>
          <t>Bathroom 1</t>
        </is>
      </c>
      <c r="C10" t="inlineStr">
        <is>
          <t>Electrical</t>
        </is>
      </c>
      <c r="D10" t="n">
        <v>3500</v>
      </c>
      <c r="E10" t="n">
        <v>14000</v>
      </c>
    </row>
    <row r="11">
      <c r="A11" t="inlineStr">
        <is>
          <t>Electrical</t>
        </is>
      </c>
      <c r="B11" t="inlineStr">
        <is>
          <t>Bathroom 2</t>
        </is>
      </c>
      <c r="C11" t="inlineStr">
        <is>
          <t>Electrical</t>
        </is>
      </c>
      <c r="D11" t="n">
        <v>3500</v>
      </c>
      <c r="E11" t="n">
        <v>14000</v>
      </c>
    </row>
    <row r="12">
      <c r="A12" t="inlineStr">
        <is>
          <t>Electrical</t>
        </is>
      </c>
      <c r="B12" t="inlineStr">
        <is>
          <t>Bedroom 1</t>
        </is>
      </c>
      <c r="C12" t="inlineStr">
        <is>
          <t>Electrical</t>
        </is>
      </c>
      <c r="D12" t="n">
        <v>3500</v>
      </c>
      <c r="E12" t="n">
        <v>14000</v>
      </c>
    </row>
    <row r="13">
      <c r="A13" t="inlineStr">
        <is>
          <t>Electrical</t>
        </is>
      </c>
      <c r="B13" t="inlineStr">
        <is>
          <t>Bedroom 2</t>
        </is>
      </c>
      <c r="C13" t="inlineStr">
        <is>
          <t>Electrical</t>
        </is>
      </c>
      <c r="D13" t="n">
        <v>3500</v>
      </c>
      <c r="E13" t="n">
        <v>14000</v>
      </c>
    </row>
    <row r="14">
      <c r="A14" t="inlineStr">
        <is>
          <t>Electrical</t>
        </is>
      </c>
      <c r="B14" t="inlineStr">
        <is>
          <t>Entry/Hallway</t>
        </is>
      </c>
      <c r="C14" t="inlineStr">
        <is>
          <t>Electrical</t>
        </is>
      </c>
      <c r="D14" t="n">
        <v>3500</v>
      </c>
      <c r="E14" t="n">
        <v>14000</v>
      </c>
    </row>
    <row r="15">
      <c r="A15" t="inlineStr">
        <is>
          <t>Electrical</t>
        </is>
      </c>
      <c r="B15" t="inlineStr">
        <is>
          <t>Kitchen</t>
        </is>
      </c>
      <c r="C15" t="inlineStr">
        <is>
          <t>Electrical</t>
        </is>
      </c>
      <c r="D15" t="n">
        <v>3500</v>
      </c>
      <c r="E15" t="n">
        <v>14000</v>
      </c>
    </row>
    <row r="16">
      <c r="A16" t="inlineStr">
        <is>
          <t>Electrical</t>
        </is>
      </c>
      <c r="B16" t="inlineStr">
        <is>
          <t>Living Room</t>
        </is>
      </c>
      <c r="C16" t="inlineStr">
        <is>
          <t>Electrical</t>
        </is>
      </c>
      <c r="D16" t="n">
        <v>3500</v>
      </c>
      <c r="E16" t="n">
        <v>14000</v>
      </c>
    </row>
    <row r="17">
      <c r="A17" t="inlineStr">
        <is>
          <t>Flooring</t>
        </is>
      </c>
      <c r="B17" t="inlineStr">
        <is>
          <t>Bedroom 1</t>
        </is>
      </c>
      <c r="C17" t="inlineStr">
        <is>
          <t>Flooring</t>
        </is>
      </c>
      <c r="D17" t="n">
        <v>947.5</v>
      </c>
      <c r="E17" t="n">
        <v>3790</v>
      </c>
    </row>
    <row r="18">
      <c r="A18" t="inlineStr">
        <is>
          <t>Flooring</t>
        </is>
      </c>
      <c r="B18" t="inlineStr">
        <is>
          <t>Bedroom 2</t>
        </is>
      </c>
      <c r="C18" t="inlineStr">
        <is>
          <t>Flooring</t>
        </is>
      </c>
      <c r="D18" t="n">
        <v>553</v>
      </c>
      <c r="E18" t="n">
        <v>2212</v>
      </c>
    </row>
    <row r="19">
      <c r="A19" t="inlineStr">
        <is>
          <t>Flooring</t>
        </is>
      </c>
      <c r="B19" t="inlineStr">
        <is>
          <t>Kitchen</t>
        </is>
      </c>
      <c r="C19" t="inlineStr">
        <is>
          <t>Flooring</t>
        </is>
      </c>
      <c r="D19" t="n">
        <v>600</v>
      </c>
      <c r="E19" t="n">
        <v>2400</v>
      </c>
    </row>
    <row r="20">
      <c r="A20" t="inlineStr">
        <is>
          <t>Flooring</t>
        </is>
      </c>
      <c r="B20" t="inlineStr">
        <is>
          <t>Living Room</t>
        </is>
      </c>
      <c r="C20" t="inlineStr">
        <is>
          <t>Flooring</t>
        </is>
      </c>
      <c r="D20" t="n">
        <v>1467</v>
      </c>
      <c r="E20" t="n">
        <v>5868</v>
      </c>
    </row>
    <row r="21">
      <c r="A21" t="inlineStr">
        <is>
          <t>General Requirements</t>
        </is>
      </c>
      <c r="B21" t="inlineStr">
        <is>
          <t>Entire Apartment</t>
        </is>
      </c>
      <c r="C21" t="inlineStr">
        <is>
          <t>Cleaning</t>
        </is>
      </c>
      <c r="D21" t="n">
        <v>1925</v>
      </c>
      <c r="E21" t="n">
        <v>7700</v>
      </c>
    </row>
    <row r="22">
      <c r="A22" t="inlineStr">
        <is>
          <t>Painting &amp; Wall Coverings</t>
        </is>
      </c>
      <c r="B22" t="inlineStr">
        <is>
          <t>Entire Apartment</t>
        </is>
      </c>
      <c r="C22" t="inlineStr">
        <is>
          <t>Painting</t>
        </is>
      </c>
      <c r="D22" t="n">
        <v>10131.08</v>
      </c>
      <c r="E22" t="n">
        <v>40524.32</v>
      </c>
    </row>
    <row r="23">
      <c r="A23" t="inlineStr">
        <is>
          <t>Plumbing</t>
        </is>
      </c>
      <c r="B23" t="inlineStr">
        <is>
          <t>Bathroom 1</t>
        </is>
      </c>
      <c r="C23" t="inlineStr">
        <is>
          <t>Plumbing</t>
        </is>
      </c>
      <c r="D23" t="n">
        <v>1375</v>
      </c>
      <c r="E23" t="n">
        <v>5500</v>
      </c>
    </row>
    <row r="24">
      <c r="A24" t="inlineStr">
        <is>
          <t>Plumbing</t>
        </is>
      </c>
      <c r="B24" t="inlineStr">
        <is>
          <t>Bathroom 2</t>
        </is>
      </c>
      <c r="C24" t="inlineStr">
        <is>
          <t>Plumbing</t>
        </is>
      </c>
      <c r="D24" t="n">
        <v>7700</v>
      </c>
      <c r="E24" t="n">
        <v>30800</v>
      </c>
    </row>
    <row r="25">
      <c r="A25" t="inlineStr">
        <is>
          <t>Plumbing</t>
        </is>
      </c>
      <c r="B25" t="inlineStr">
        <is>
          <t>Kitchen</t>
        </is>
      </c>
      <c r="C25" t="inlineStr">
        <is>
          <t>Demolition</t>
        </is>
      </c>
      <c r="D25" t="n">
        <v>3850</v>
      </c>
      <c r="E25" t="n">
        <v>15400</v>
      </c>
    </row>
    <row r="26">
      <c r="A26" t="inlineStr">
        <is>
          <t>Tile</t>
        </is>
      </c>
      <c r="B26" t="inlineStr">
        <is>
          <t>Bathroom 1</t>
        </is>
      </c>
      <c r="C26" t="inlineStr">
        <is>
          <t>Plumbing</t>
        </is>
      </c>
      <c r="D26" t="n">
        <v>156000</v>
      </c>
      <c r="E26" t="n">
        <v>780000</v>
      </c>
    </row>
    <row r="27">
      <c r="A27" t="inlineStr">
        <is>
          <t>Tile</t>
        </is>
      </c>
      <c r="B27" t="inlineStr">
        <is>
          <t>Bathroom 2</t>
        </is>
      </c>
      <c r="C27" t="inlineStr">
        <is>
          <t>Tile Work</t>
        </is>
      </c>
      <c r="D27" t="n">
        <v>88400</v>
      </c>
      <c r="E27" t="n">
        <v>442000</v>
      </c>
    </row>
    <row r="28">
      <c r="A28" t="inlineStr">
        <is>
          <t>Trims</t>
        </is>
      </c>
      <c r="B28" t="inlineStr">
        <is>
          <t>Entire Apartment</t>
        </is>
      </c>
      <c r="C28" t="inlineStr">
        <is>
          <t>Trim</t>
        </is>
      </c>
      <c r="D28" t="n">
        <v>4918</v>
      </c>
      <c r="E28" t="n">
        <v>19672</v>
      </c>
    </row>
    <row r="29">
      <c r="A29" t="inlineStr">
        <is>
          <t>Walls &amp; Ceiling</t>
        </is>
      </c>
      <c r="B29" t="inlineStr">
        <is>
          <t>Bathroom 1</t>
        </is>
      </c>
      <c r="C29" t="inlineStr">
        <is>
          <t>Fixtures</t>
        </is>
      </c>
      <c r="D29" t="n">
        <v>1200</v>
      </c>
      <c r="E29" t="n">
        <v>4800</v>
      </c>
    </row>
    <row r="30">
      <c r="A30" t="inlineStr">
        <is>
          <t>Walls &amp; Ceiling</t>
        </is>
      </c>
      <c r="B30" t="inlineStr">
        <is>
          <t>Bedroom 1</t>
        </is>
      </c>
      <c r="C30" t="inlineStr">
        <is>
          <t>Other</t>
        </is>
      </c>
      <c r="D30" t="n">
        <v>1705.5</v>
      </c>
      <c r="E30" t="n">
        <v>6822</v>
      </c>
    </row>
    <row r="31">
      <c r="A31" t="inlineStr">
        <is>
          <t>Walls &amp; Ceiling</t>
        </is>
      </c>
      <c r="B31" t="inlineStr">
        <is>
          <t>Bedroom 2</t>
        </is>
      </c>
      <c r="C31" t="inlineStr">
        <is>
          <t>Other</t>
        </is>
      </c>
      <c r="D31" t="n">
        <v>995.4</v>
      </c>
      <c r="E31" t="n">
        <v>3981.6</v>
      </c>
    </row>
    <row r="32">
      <c r="A32" t="inlineStr">
        <is>
          <t>Walls &amp; Ceiling</t>
        </is>
      </c>
      <c r="B32" t="inlineStr">
        <is>
          <t>Living Room</t>
        </is>
      </c>
      <c r="C32" t="inlineStr">
        <is>
          <t>Other</t>
        </is>
      </c>
      <c r="D32" t="n">
        <v>2200.5</v>
      </c>
      <c r="E32" t="n">
        <v>8802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Backsplash</t>
        </is>
      </c>
      <c r="B2" t="n">
        <v>0</v>
      </c>
      <c r="C2" t="n">
        <v>0</v>
      </c>
    </row>
    <row r="3">
      <c r="A3" t="inlineStr">
        <is>
          <t>Cabinetry &amp; Storage</t>
        </is>
      </c>
      <c r="B3" t="n">
        <v>9350</v>
      </c>
      <c r="C3" t="n">
        <v>37400</v>
      </c>
    </row>
    <row r="4">
      <c r="A4" t="inlineStr">
        <is>
          <t>Countertops</t>
        </is>
      </c>
      <c r="B4" t="n">
        <v>4365</v>
      </c>
      <c r="C4" t="n">
        <v>17460</v>
      </c>
    </row>
    <row r="5">
      <c r="A5" t="inlineStr">
        <is>
          <t>Demolition</t>
        </is>
      </c>
      <c r="B5" t="n">
        <v>6692</v>
      </c>
      <c r="C5" t="n">
        <v>26768</v>
      </c>
    </row>
    <row r="6">
      <c r="A6" t="inlineStr">
        <is>
          <t>Doors</t>
        </is>
      </c>
      <c r="B6" t="n">
        <v>4400</v>
      </c>
      <c r="C6" t="n">
        <v>17600</v>
      </c>
    </row>
    <row r="7">
      <c r="A7" t="inlineStr">
        <is>
          <t>Electrical</t>
        </is>
      </c>
      <c r="B7" t="n">
        <v>24500</v>
      </c>
      <c r="C7" t="n">
        <v>98000</v>
      </c>
    </row>
    <row r="8">
      <c r="A8" t="inlineStr">
        <is>
          <t>Flooring</t>
        </is>
      </c>
      <c r="B8" t="n">
        <v>3567.5</v>
      </c>
      <c r="C8" t="n">
        <v>14270</v>
      </c>
    </row>
    <row r="9">
      <c r="A9" t="inlineStr">
        <is>
          <t>General Requirements</t>
        </is>
      </c>
      <c r="B9" t="n">
        <v>1925</v>
      </c>
      <c r="C9" t="n">
        <v>7700</v>
      </c>
    </row>
    <row r="10">
      <c r="A10" t="inlineStr">
        <is>
          <t>Painting &amp; Wall Coverings</t>
        </is>
      </c>
      <c r="B10" t="n">
        <v>10131.08</v>
      </c>
      <c r="C10" t="n">
        <v>40524.32</v>
      </c>
    </row>
    <row r="11">
      <c r="A11" t="inlineStr">
        <is>
          <t>Plumbing</t>
        </is>
      </c>
      <c r="B11" t="n">
        <v>12925</v>
      </c>
      <c r="C11" t="n">
        <v>51700</v>
      </c>
    </row>
    <row r="12">
      <c r="A12" t="inlineStr">
        <is>
          <t>Tile</t>
        </is>
      </c>
      <c r="B12" t="n">
        <v>244400</v>
      </c>
      <c r="C12" t="n">
        <v>1222000</v>
      </c>
    </row>
    <row r="13">
      <c r="A13" t="inlineStr">
        <is>
          <t>Trims</t>
        </is>
      </c>
      <c r="B13" t="n">
        <v>4918</v>
      </c>
      <c r="C13" t="n">
        <v>19672</v>
      </c>
    </row>
    <row r="14">
      <c r="A14" t="inlineStr">
        <is>
          <t>Walls &amp; Ceiling</t>
        </is>
      </c>
      <c r="B14" t="n">
        <v>6101.4</v>
      </c>
      <c r="C14" t="n">
        <v>24405.6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2025-09-23T14:19:35Z</dcterms:created>
  <dcterms:modified xmlns:dcterms="http://purl.org/dc/terms/" xmlns:xsi="http://www.w3.org/2001/XMLSchema-instance" xsi:type="dcterms:W3CDTF">2025-09-23T14:19:35Z</dcterms:modified>
</cp:coreProperties>
</file>