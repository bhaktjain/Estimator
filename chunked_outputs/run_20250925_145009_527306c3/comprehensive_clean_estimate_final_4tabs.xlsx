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inlineStr">
        <is>
          <t>new staircase installation|UNIT|install a new staircase to the attic</t>
        </is>
      </c>
      <c r="E2" t="inlineStr">
        <is>
          <t>new staircase installation</t>
        </is>
      </c>
      <c r="F2" t="inlineStr">
        <is>
          <t>install a new staircase to the attic</t>
        </is>
      </c>
      <c r="G2" t="n">
        <v>1</v>
      </c>
      <c r="H2" t="inlineStr">
        <is>
          <t>UNIT</t>
        </is>
      </c>
      <c r="I2" t="n">
        <v>1200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85</t>
        </is>
      </c>
      <c r="O2" t="inlineStr">
        <is>
          <t>0</t>
        </is>
      </c>
    </row>
    <row r="3">
      <c r="A3" t="inlineStr">
        <is>
          <t>Attic Renovation</t>
        </is>
      </c>
      <c r="B3" t="inlineStr">
        <is>
          <t>Attic</t>
        </is>
      </c>
      <c r="C3" t="inlineStr">
        <is>
          <t>Other</t>
        </is>
      </c>
      <c r="D3" t="inlineStr">
        <is>
          <t>refinish attic|SF|refinish the attic with walls all around</t>
        </is>
      </c>
      <c r="E3" t="inlineStr">
        <is>
          <t>refinish attic</t>
        </is>
      </c>
      <c r="F3" t="inlineStr">
        <is>
          <t>refinish the attic with walls all around</t>
        </is>
      </c>
      <c r="G3" t="n">
        <v>500</v>
      </c>
      <c r="H3" t="inlineStr">
        <is>
          <t>SF</t>
        </is>
      </c>
      <c r="I3" t="n">
        <v>4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85</t>
        </is>
      </c>
      <c r="O3" t="inlineStr">
        <is>
          <t>1</t>
        </is>
      </c>
    </row>
    <row r="4">
      <c r="A4" t="inlineStr">
        <is>
          <t>Flooring</t>
        </is>
      </c>
      <c r="B4" t="inlineStr">
        <is>
          <t>Attic</t>
        </is>
      </c>
      <c r="C4" t="inlineStr">
        <is>
          <t>Flooring</t>
        </is>
      </c>
      <c r="D4" t="inlineStr">
        <is>
          <t>floor installation|SF|install new flooring in the attic</t>
        </is>
      </c>
      <c r="E4" t="inlineStr">
        <is>
          <t>floor installation</t>
        </is>
      </c>
      <c r="F4" t="inlineStr">
        <is>
          <t>install new flooring in the attic</t>
        </is>
      </c>
      <c r="G4" t="n">
        <v>500</v>
      </c>
      <c r="H4" t="inlineStr">
        <is>
          <t>SF</t>
        </is>
      </c>
      <c r="I4" t="n">
        <v>6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85</t>
        </is>
      </c>
      <c r="O4" t="inlineStr">
        <is>
          <t>2</t>
        </is>
      </c>
    </row>
    <row r="5">
      <c r="A5" t="inlineStr">
        <is>
          <t>Flooring</t>
        </is>
      </c>
      <c r="B5" t="inlineStr">
        <is>
          <t>Kitchen</t>
        </is>
      </c>
      <c r="C5" t="inlineStr">
        <is>
          <t>Flooring</t>
        </is>
      </c>
      <c r="D5" t="inlineStr">
        <is>
          <t>kitchen flooring|SF|installation of new hardwood flooring</t>
        </is>
      </c>
      <c r="E5" t="inlineStr">
        <is>
          <t>kitchen flooring</t>
        </is>
      </c>
      <c r="F5" t="inlineStr">
        <is>
          <t>installation of new hardwood flooring</t>
        </is>
      </c>
      <c r="G5" t="n">
        <v>205</v>
      </c>
      <c r="H5" t="inlineStr">
        <is>
          <t>SF</t>
        </is>
      </c>
      <c r="I5" t="n">
        <v>6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90</t>
        </is>
      </c>
      <c r="O5" t="inlineStr">
        <is>
          <t>3</t>
        </is>
      </c>
    </row>
    <row r="6">
      <c r="A6" t="inlineStr">
        <is>
          <t>Flooring</t>
        </is>
      </c>
      <c r="B6" t="inlineStr">
        <is>
          <t>Bedroom</t>
        </is>
      </c>
      <c r="C6" t="inlineStr">
        <is>
          <t>Flooring</t>
        </is>
      </c>
      <c r="D6" t="inlineStr">
        <is>
          <t>bedroom flooring|SF|installation of new hardwood flooring</t>
        </is>
      </c>
      <c r="E6" t="inlineStr">
        <is>
          <t>bedroom flooring</t>
        </is>
      </c>
      <c r="F6" t="inlineStr">
        <is>
          <t>installation of new hardwood flooring</t>
        </is>
      </c>
      <c r="G6" t="n">
        <v>50</v>
      </c>
      <c r="H6" t="inlineStr">
        <is>
          <t>SF</t>
        </is>
      </c>
      <c r="I6" t="n">
        <v>6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90</t>
        </is>
      </c>
      <c r="O6" t="inlineStr">
        <is>
          <t>4</t>
        </is>
      </c>
    </row>
    <row r="7">
      <c r="A7" t="inlineStr">
        <is>
          <t>Flooring</t>
        </is>
      </c>
      <c r="B7" t="inlineStr">
        <is>
          <t>First Floor</t>
        </is>
      </c>
      <c r="C7" t="inlineStr">
        <is>
          <t>Flooring</t>
        </is>
      </c>
      <c r="D7" t="inlineStr">
        <is>
          <t>level floors|SF|level the floors with the extension height of 5 inches</t>
        </is>
      </c>
      <c r="E7" t="inlineStr">
        <is>
          <t>level floors</t>
        </is>
      </c>
      <c r="F7" t="inlineStr">
        <is>
          <t>level the floors with the extension height of 5 inches</t>
        </is>
      </c>
      <c r="G7" t="n">
        <v>1319</v>
      </c>
      <c r="H7" t="inlineStr">
        <is>
          <t>SF</t>
        </is>
      </c>
      <c r="I7" t="n">
        <v>6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90</t>
        </is>
      </c>
      <c r="O7" t="inlineStr">
        <is>
          <t>5</t>
        </is>
      </c>
    </row>
    <row r="8">
      <c r="A8" t="inlineStr">
        <is>
          <t>Flooring</t>
        </is>
      </c>
      <c r="B8" t="inlineStr">
        <is>
          <t>Living Room</t>
        </is>
      </c>
      <c r="C8" t="inlineStr">
        <is>
          <t>Flooring</t>
        </is>
      </c>
      <c r="D8" t="inlineStr">
        <is>
          <t>living room flooring|SF|installation of new hardwood flooring</t>
        </is>
      </c>
      <c r="E8" t="inlineStr">
        <is>
          <t>living room flooring</t>
        </is>
      </c>
      <c r="F8" t="inlineStr">
        <is>
          <t>installation of new hardwood flooring</t>
        </is>
      </c>
      <c r="G8" t="n">
        <v>246</v>
      </c>
      <c r="H8" t="inlineStr">
        <is>
          <t>SF</t>
        </is>
      </c>
      <c r="I8" t="n">
        <v>6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90</t>
        </is>
      </c>
      <c r="O8" t="inlineStr">
        <is>
          <t>6</t>
        </is>
      </c>
    </row>
    <row r="9">
      <c r="A9" t="inlineStr">
        <is>
          <t>Flooring</t>
        </is>
      </c>
      <c r="B9" t="inlineStr">
        <is>
          <t>Second Floor</t>
        </is>
      </c>
      <c r="C9" t="inlineStr">
        <is>
          <t>Flooring</t>
        </is>
      </c>
      <c r="D9" t="inlineStr">
        <is>
          <t>install new floors|SF|install new floors throughout the second floor</t>
        </is>
      </c>
      <c r="E9" t="inlineStr">
        <is>
          <t>install new floors</t>
        </is>
      </c>
      <c r="F9" t="inlineStr">
        <is>
          <t>install new floors throughout the second floor</t>
        </is>
      </c>
      <c r="G9" t="n">
        <v>1000</v>
      </c>
      <c r="H9" t="inlineStr">
        <is>
          <t>SF</t>
        </is>
      </c>
      <c r="I9" t="n">
        <v>6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85</t>
        </is>
      </c>
      <c r="O9" t="inlineStr">
        <is>
          <t>7</t>
        </is>
      </c>
    </row>
    <row r="10">
      <c r="A10" t="inlineStr">
        <is>
          <t>Doors</t>
        </is>
      </c>
      <c r="B10" t="inlineStr">
        <is>
          <t>Attic</t>
        </is>
      </c>
      <c r="C10" t="inlineStr">
        <is>
          <t>Other</t>
        </is>
      </c>
      <c r="D10" t="inlineStr">
        <is>
          <t>barn door installation|UNIT|install a barn door in the attic</t>
        </is>
      </c>
      <c r="E10" t="inlineStr">
        <is>
          <t>barn door installation</t>
        </is>
      </c>
      <c r="F10" t="inlineStr">
        <is>
          <t>install a barn door in the attic</t>
        </is>
      </c>
      <c r="G10" t="n">
        <v>1</v>
      </c>
      <c r="H10" t="inlineStr">
        <is>
          <t>UNIT</t>
        </is>
      </c>
      <c r="I10" t="n">
        <v>1320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85</t>
        </is>
      </c>
      <c r="O10" t="inlineStr">
        <is>
          <t>8</t>
        </is>
      </c>
    </row>
    <row r="11">
      <c r="A11" t="inlineStr">
        <is>
          <t>Doors</t>
        </is>
      </c>
      <c r="B11" t="inlineStr">
        <is>
          <t>First Floor</t>
        </is>
      </c>
      <c r="C11" t="inlineStr">
        <is>
          <t>Other</t>
        </is>
      </c>
      <c r="D11" t="inlineStr">
        <is>
          <t>replace window with sliding door|UNIT|replace the window in the front balcony with a sliding door</t>
        </is>
      </c>
      <c r="E11" t="inlineStr">
        <is>
          <t>replace window with sliding door</t>
        </is>
      </c>
      <c r="F11" t="inlineStr">
        <is>
          <t>replace the window in the front balcony with a sliding door</t>
        </is>
      </c>
      <c r="G11" t="n">
        <v>1</v>
      </c>
      <c r="H11" t="inlineStr">
        <is>
          <t>UNIT</t>
        </is>
      </c>
      <c r="I11" t="n">
        <v>2500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85</t>
        </is>
      </c>
      <c r="O11" t="inlineStr">
        <is>
          <t>9</t>
        </is>
      </c>
    </row>
    <row r="12">
      <c r="A12" t="inlineStr">
        <is>
          <t>Electrical</t>
        </is>
      </c>
      <c r="B12" t="inlineStr">
        <is>
          <t>Attic</t>
        </is>
      </c>
      <c r="C12" t="inlineStr">
        <is>
          <t>Electrical</t>
        </is>
      </c>
      <c r="D12" t="inlineStr">
        <is>
          <t>lights installation|UNIT|install new lights in the attic</t>
        </is>
      </c>
      <c r="E12" t="inlineStr">
        <is>
          <t>lights installation</t>
        </is>
      </c>
      <c r="F12" t="inlineStr">
        <is>
          <t>install new lights in the attic</t>
        </is>
      </c>
      <c r="G12" t="n">
        <v>5</v>
      </c>
      <c r="H12" t="inlineStr">
        <is>
          <t>UNIT</t>
        </is>
      </c>
      <c r="I12" t="n">
        <v>165</v>
      </c>
      <c r="J12" t="inlineStr">
        <is>
          <t>0.75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85</t>
        </is>
      </c>
      <c r="O12" t="inlineStr">
        <is>
          <t>10</t>
        </is>
      </c>
    </row>
    <row r="13">
      <c r="A13" t="inlineStr">
        <is>
          <t>Electrical</t>
        </is>
      </c>
      <c r="B13" t="inlineStr">
        <is>
          <t>Kitchen</t>
        </is>
      </c>
      <c r="C13" t="inlineStr">
        <is>
          <t>Electrical</t>
        </is>
      </c>
      <c r="D13" t="inlineStr">
        <is>
          <t>kitchen electrical|SF|rewiring and installation of kitchen electrical systems including outlets gfci a</t>
        </is>
      </c>
      <c r="E13" t="inlineStr">
        <is>
          <t>kitchen electrical</t>
        </is>
      </c>
      <c r="F13" t="inlineStr">
        <is>
          <t>rewiring and installation of kitchen electrical systems including outlets gfci and lighting</t>
        </is>
      </c>
      <c r="G13" t="n">
        <v>205</v>
      </c>
      <c r="H13" t="inlineStr">
        <is>
          <t>SF</t>
        </is>
      </c>
      <c r="I13" t="n">
        <v>17</v>
      </c>
      <c r="J13" t="inlineStr">
        <is>
          <t>0.75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90</t>
        </is>
      </c>
      <c r="O13" t="inlineStr">
        <is>
          <t>11</t>
        </is>
      </c>
    </row>
    <row r="14">
      <c r="A14" t="inlineStr">
        <is>
          <t>Electrical</t>
        </is>
      </c>
      <c r="B14" t="inlineStr">
        <is>
          <t>Bedroom</t>
        </is>
      </c>
      <c r="C14" t="inlineStr">
        <is>
          <t>Electrical</t>
        </is>
      </c>
      <c r="D14" t="inlineStr">
        <is>
          <t>bedroom electrical|SF|installation of outlets switches and light fixtures</t>
        </is>
      </c>
      <c r="E14" t="inlineStr">
        <is>
          <t>bedroom electrical</t>
        </is>
      </c>
      <c r="F14" t="inlineStr">
        <is>
          <t>installation of outlets switches and light fixtures</t>
        </is>
      </c>
      <c r="G14" t="n">
        <v>50</v>
      </c>
      <c r="H14" t="inlineStr">
        <is>
          <t>SF</t>
        </is>
      </c>
      <c r="I14" t="n">
        <v>17</v>
      </c>
      <c r="J14" t="inlineStr">
        <is>
          <t>0.75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90</t>
        </is>
      </c>
      <c r="O14" t="inlineStr">
        <is>
          <t>12</t>
        </is>
      </c>
    </row>
    <row r="15">
      <c r="A15" t="inlineStr">
        <is>
          <t>Electrical</t>
        </is>
      </c>
      <c r="B15" t="inlineStr">
        <is>
          <t>First Floor</t>
        </is>
      </c>
      <c r="C15" t="inlineStr">
        <is>
          <t>Electrical</t>
        </is>
      </c>
      <c r="D15" t="inlineStr">
        <is>
          <t>replace lights|UNIT|replace lights throughout the first floor</t>
        </is>
      </c>
      <c r="E15" t="inlineStr">
        <is>
          <t>replace lights</t>
        </is>
      </c>
      <c r="F15" t="inlineStr">
        <is>
          <t>replace lights throughout the first floor</t>
        </is>
      </c>
      <c r="G15" t="n">
        <v>10</v>
      </c>
      <c r="H15" t="inlineStr">
        <is>
          <t>UNIT</t>
        </is>
      </c>
      <c r="I15" t="n">
        <v>165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85</t>
        </is>
      </c>
      <c r="O15" t="inlineStr">
        <is>
          <t>13</t>
        </is>
      </c>
    </row>
    <row r="16">
      <c r="A16" t="inlineStr">
        <is>
          <t>Electrical</t>
        </is>
      </c>
      <c r="B16" t="inlineStr">
        <is>
          <t>Living Room</t>
        </is>
      </c>
      <c r="C16" t="inlineStr">
        <is>
          <t>Electrical</t>
        </is>
      </c>
      <c r="D16" t="inlineStr">
        <is>
          <t>living room electrical|SF|installation of outlets switches and light fixtures</t>
        </is>
      </c>
      <c r="E16" t="inlineStr">
        <is>
          <t>living room electrical</t>
        </is>
      </c>
      <c r="F16" t="inlineStr">
        <is>
          <t>installation of outlets switches and light fixtures</t>
        </is>
      </c>
      <c r="G16" t="n">
        <v>246</v>
      </c>
      <c r="H16" t="inlineStr">
        <is>
          <t>SF</t>
        </is>
      </c>
      <c r="I16" t="n">
        <v>17</v>
      </c>
      <c r="J16" t="inlineStr">
        <is>
          <t>0.75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90</t>
        </is>
      </c>
      <c r="O16" t="inlineStr">
        <is>
          <t>14</t>
        </is>
      </c>
    </row>
    <row r="17">
      <c r="A17" t="inlineStr">
        <is>
          <t>Electrical</t>
        </is>
      </c>
      <c r="B17" t="inlineStr">
        <is>
          <t>Basement</t>
        </is>
      </c>
      <c r="C17" t="inlineStr">
        <is>
          <t>Electrical</t>
        </is>
      </c>
      <c r="D17" t="inlineStr">
        <is>
          <t>rewire basement|SF|rewire the basement for better electrical organization</t>
        </is>
      </c>
      <c r="E17" t="inlineStr">
        <is>
          <t>rewire basement</t>
        </is>
      </c>
      <c r="F17" t="inlineStr">
        <is>
          <t>rewire the basement for better electrical organization</t>
        </is>
      </c>
      <c r="G17" t="n">
        <v>500</v>
      </c>
      <c r="H17" t="inlineStr">
        <is>
          <t>SF</t>
        </is>
      </c>
      <c r="I17" t="n">
        <v>17</v>
      </c>
      <c r="J17" t="inlineStr">
        <is>
          <t>0.75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90</t>
        </is>
      </c>
      <c r="O17" t="inlineStr">
        <is>
          <t>15</t>
        </is>
      </c>
    </row>
    <row r="18">
      <c r="A18" t="inlineStr">
        <is>
          <t>Electrical</t>
        </is>
      </c>
      <c r="B18" t="inlineStr">
        <is>
          <t>Bathroom</t>
        </is>
      </c>
      <c r="C18" t="inlineStr">
        <is>
          <t>Electrical</t>
        </is>
      </c>
      <c r="D18" t="inlineStr">
        <is>
          <t>bathroom electrical|SF|installation of bathroom electrical systems including gfci outlets and lighting</t>
        </is>
      </c>
      <c r="E18" t="inlineStr">
        <is>
          <t>bathroom electrical</t>
        </is>
      </c>
      <c r="F18" t="inlineStr">
        <is>
          <t>installation of bathroom electrical systems including gfci outlets and lighting</t>
        </is>
      </c>
      <c r="G18" t="n">
        <v>33</v>
      </c>
      <c r="H18" t="inlineStr">
        <is>
          <t>SF</t>
        </is>
      </c>
      <c r="I18" t="n">
        <v>17</v>
      </c>
      <c r="J18" t="inlineStr">
        <is>
          <t>0.75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90</t>
        </is>
      </c>
      <c r="O18" t="inlineStr">
        <is>
          <t>16</t>
        </is>
      </c>
    </row>
    <row r="19">
      <c r="A19" t="inlineStr">
        <is>
          <t>Demolition</t>
        </is>
      </c>
      <c r="B19" t="inlineStr">
        <is>
          <t>Kitchen</t>
        </is>
      </c>
      <c r="C19" t="inlineStr">
        <is>
          <t>Demolition</t>
        </is>
      </c>
      <c r="D19" t="inlineStr">
        <is>
          <t>kitchen demolition|SF|demolition of kitchen including removal of cabinets countertops appliances floor</t>
        </is>
      </c>
      <c r="E19" t="inlineStr">
        <is>
          <t>kitchen demolition</t>
        </is>
      </c>
      <c r="F19" t="inlineStr">
        <is>
          <t>demolition of kitchen including removal of cabinets countertops appliances flooring and backsplash</t>
        </is>
      </c>
      <c r="G19" t="n">
        <v>205</v>
      </c>
      <c r="H19" t="inlineStr">
        <is>
          <t>SF</t>
        </is>
      </c>
      <c r="I19" t="n">
        <v>3300</v>
      </c>
      <c r="J19" t="inlineStr">
        <is>
          <t>0.75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95</t>
        </is>
      </c>
      <c r="O19" t="inlineStr">
        <is>
          <t>17</t>
        </is>
      </c>
    </row>
    <row r="20">
      <c r="A20" t="inlineStr">
        <is>
          <t>Demolition</t>
        </is>
      </c>
      <c r="B20" t="inlineStr">
        <is>
          <t>Second Floor</t>
        </is>
      </c>
      <c r="C20" t="inlineStr">
        <is>
          <t>Demolition</t>
        </is>
      </c>
      <c r="D20" t="inlineStr">
        <is>
          <t>demolition bathrooms|UNIT|demolition renovation of primary and secondary bathrooms</t>
        </is>
      </c>
      <c r="E20" t="inlineStr">
        <is>
          <t>demolition bathrooms</t>
        </is>
      </c>
      <c r="F20" t="inlineStr">
        <is>
          <t>demolition renovation of primary and secondary bathrooms</t>
        </is>
      </c>
      <c r="G20" t="n">
        <v>2</v>
      </c>
      <c r="H20" t="inlineStr">
        <is>
          <t>UNIT</t>
        </is>
      </c>
      <c r="I20" t="n">
        <v>9900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90</t>
        </is>
      </c>
      <c r="O20" t="inlineStr">
        <is>
          <t>18</t>
        </is>
      </c>
    </row>
    <row r="21">
      <c r="A21" t="inlineStr">
        <is>
          <t>Demolition</t>
        </is>
      </c>
      <c r="B21" t="inlineStr">
        <is>
          <t>Bathroom</t>
        </is>
      </c>
      <c r="C21" t="inlineStr">
        <is>
          <t>Demolition</t>
        </is>
      </c>
      <c r="D21" t="inlineStr">
        <is>
          <t>bathroom demolition|SF|demolition of bathroom including removal of fixtures tile and flooring</t>
        </is>
      </c>
      <c r="E21" t="inlineStr">
        <is>
          <t>bathroom demolition</t>
        </is>
      </c>
      <c r="F21" t="inlineStr">
        <is>
          <t>demolition of bathroom including removal of fixtures tile and flooring</t>
        </is>
      </c>
      <c r="G21" t="n">
        <v>33</v>
      </c>
      <c r="H21" t="inlineStr">
        <is>
          <t>SF</t>
        </is>
      </c>
      <c r="I21" t="n">
        <v>2200</v>
      </c>
      <c r="J21" t="inlineStr">
        <is>
          <t>0.75</t>
        </is>
      </c>
      <c r="K21" t="inlineStr"/>
      <c r="L21">
        <f>G21*I21</f>
        <v/>
      </c>
      <c r="M21">
        <f>IF(OR(K21="",K21="Special Formula"), L21/(1-J21), L21*(1+J21))</f>
        <v/>
      </c>
      <c r="N21" t="inlineStr">
        <is>
          <t>95</t>
        </is>
      </c>
      <c r="O21" t="inlineStr">
        <is>
          <t>19</t>
        </is>
      </c>
    </row>
    <row r="22">
      <c r="A22" t="inlineStr">
        <is>
          <t>Plumbing</t>
        </is>
      </c>
      <c r="B22" t="inlineStr">
        <is>
          <t>Kitchen</t>
        </is>
      </c>
      <c r="C22" t="inlineStr">
        <is>
          <t>Demolition</t>
        </is>
      </c>
      <c r="D22" t="inlineStr">
        <is>
          <t>kitchen plumbing|UNIT|demolition plumbing for existing location with 1 sink</t>
        </is>
      </c>
      <c r="E22" t="inlineStr">
        <is>
          <t>kitchen plumbing</t>
        </is>
      </c>
      <c r="F22" t="inlineStr">
        <is>
          <t>demolition plumbing for existing location with 1 sink</t>
        </is>
      </c>
      <c r="G22" t="n">
        <v>1</v>
      </c>
      <c r="H22" t="inlineStr">
        <is>
          <t>UNIT</t>
        </is>
      </c>
      <c r="I22" t="n">
        <v>3850</v>
      </c>
      <c r="J22" t="inlineStr">
        <is>
          <t>0.75</t>
        </is>
      </c>
      <c r="K22" t="inlineStr"/>
      <c r="L22">
        <f>G22*I22</f>
        <v/>
      </c>
      <c r="M22">
        <f>IF(OR(K22="",K22="Special Formula"), L22/(1-J22), L22*(1+J22))</f>
        <v/>
      </c>
      <c r="N22" t="inlineStr">
        <is>
          <t>95</t>
        </is>
      </c>
      <c r="O22" t="inlineStr">
        <is>
          <t>20</t>
        </is>
      </c>
    </row>
    <row r="23">
      <c r="A23" t="inlineStr">
        <is>
          <t>Plumbing</t>
        </is>
      </c>
      <c r="B23" t="inlineStr">
        <is>
          <t>Bathroom</t>
        </is>
      </c>
      <c r="C23" t="inlineStr">
        <is>
          <t>Demolition</t>
        </is>
      </c>
      <c r="D23" t="inlineStr">
        <is>
          <t>bathroom plumbing|UNIT|demolition plumbing for existing location</t>
        </is>
      </c>
      <c r="E23" t="inlineStr">
        <is>
          <t>bathroom plumbing</t>
        </is>
      </c>
      <c r="F23" t="inlineStr">
        <is>
          <t>demolition plumbing for existing location</t>
        </is>
      </c>
      <c r="G23" t="n">
        <v>1</v>
      </c>
      <c r="H23" t="inlineStr">
        <is>
          <t>UNIT</t>
        </is>
      </c>
      <c r="I23" t="n">
        <v>7700</v>
      </c>
      <c r="J23" t="inlineStr">
        <is>
          <t>0.75</t>
        </is>
      </c>
      <c r="K23" t="inlineStr"/>
      <c r="L23">
        <f>G23*I23</f>
        <v/>
      </c>
      <c r="M23">
        <f>IF(OR(K23="",K23="Special Formula"), L23/(1-J23), L23*(1+J23))</f>
        <v/>
      </c>
      <c r="N23" t="inlineStr">
        <is>
          <t>95</t>
        </is>
      </c>
      <c r="O23" t="inlineStr">
        <is>
          <t>21</t>
        </is>
      </c>
    </row>
    <row r="24">
      <c r="A24" t="inlineStr">
        <is>
          <t>Countertops</t>
        </is>
      </c>
      <c r="B24" t="inlineStr">
        <is>
          <t>Kitchen</t>
        </is>
      </c>
      <c r="C24" t="inlineStr">
        <is>
          <t>Countertops</t>
        </is>
      </c>
      <c r="D24" t="inlineStr">
        <is>
          <t>kitchen countertops|SF|fabrication and installation of quartz countertops</t>
        </is>
      </c>
      <c r="E24" t="inlineStr">
        <is>
          <t>kitchen countertops</t>
        </is>
      </c>
      <c r="F24" t="inlineStr">
        <is>
          <t>fabrication and installation of quartz countertops</t>
        </is>
      </c>
      <c r="G24" t="n">
        <v>45</v>
      </c>
      <c r="H24" t="inlineStr">
        <is>
          <t>SF</t>
        </is>
      </c>
      <c r="I24" t="n">
        <v>97</v>
      </c>
      <c r="J24" t="inlineStr">
        <is>
          <t>0.75</t>
        </is>
      </c>
      <c r="K24" t="inlineStr"/>
      <c r="L24">
        <f>G24*I24</f>
        <v/>
      </c>
      <c r="M24">
        <f>IF(OR(K24="",K24="Special Formula"), L24/(1-J24), L24*(1+J24))</f>
        <v/>
      </c>
      <c r="N24" t="inlineStr">
        <is>
          <t>95</t>
        </is>
      </c>
      <c r="O24" t="inlineStr">
        <is>
          <t>22</t>
        </is>
      </c>
    </row>
    <row r="25">
      <c r="A25" t="inlineStr">
        <is>
          <t>Cabinetry &amp; Storage</t>
        </is>
      </c>
      <c r="B25" t="inlineStr">
        <is>
          <t>Kitchen</t>
        </is>
      </c>
      <c r="C25" t="inlineStr">
        <is>
          <t>Cabinets</t>
        </is>
      </c>
      <c r="D25" t="inlineStr">
        <is>
          <t>kitchen cabinets|LF|installation of semi custom kitchen cabinets</t>
        </is>
      </c>
      <c r="E25" t="inlineStr">
        <is>
          <t>kitchen cabinets</t>
        </is>
      </c>
      <c r="F25" t="inlineStr">
        <is>
          <t>installation of semi custom kitchen cabinets</t>
        </is>
      </c>
      <c r="G25" t="n">
        <v>15</v>
      </c>
      <c r="H25" t="inlineStr">
        <is>
          <t>LF</t>
        </is>
      </c>
      <c r="I25" t="n">
        <v>850</v>
      </c>
      <c r="J25" t="inlineStr">
        <is>
          <t>0.75</t>
        </is>
      </c>
      <c r="K25" t="inlineStr"/>
      <c r="L25">
        <f>G25*I25</f>
        <v/>
      </c>
      <c r="M25">
        <f>IF(OR(K25="",K25="Special Formula"), L25/(1-J25), L25*(1+J25))</f>
        <v/>
      </c>
      <c r="N25" t="inlineStr">
        <is>
          <t>95</t>
        </is>
      </c>
      <c r="O25" t="inlineStr">
        <is>
          <t>23</t>
        </is>
      </c>
    </row>
    <row r="26">
      <c r="A26" t="inlineStr">
        <is>
          <t>Backsplash</t>
        </is>
      </c>
      <c r="B26" t="inlineStr">
        <is>
          <t>Kitchen</t>
        </is>
      </c>
      <c r="C26" t="inlineStr">
        <is>
          <t>Backsplash</t>
        </is>
      </c>
      <c r="D26" t="inlineStr">
        <is>
          <t>kitchen backsplash|LF|installation of kitchen backsplash tiles</t>
        </is>
      </c>
      <c r="E26" t="inlineStr">
        <is>
          <t>kitchen backsplash</t>
        </is>
      </c>
      <c r="F26" t="inlineStr">
        <is>
          <t>installation of kitchen backsplash tiles</t>
        </is>
      </c>
      <c r="G26" t="n">
        <v>10</v>
      </c>
      <c r="H26" t="inlineStr">
        <is>
          <t>LF</t>
        </is>
      </c>
      <c r="I26" t="n">
        <v>2200</v>
      </c>
      <c r="J26" t="inlineStr">
        <is>
          <t>0.80</t>
        </is>
      </c>
      <c r="K26" t="inlineStr"/>
      <c r="L26">
        <f>G26*I26</f>
        <v/>
      </c>
      <c r="M26">
        <f>IF(OR(K26="",K26="Special Formula"), L26/(1-J26), L26*(1+J26))</f>
        <v/>
      </c>
      <c r="N26" t="inlineStr">
        <is>
          <t>90</t>
        </is>
      </c>
      <c r="O26" t="inlineStr">
        <is>
          <t>24</t>
        </is>
      </c>
    </row>
    <row r="27">
      <c r="A27" t="inlineStr">
        <is>
          <t>Painting &amp; Wall Coverings</t>
        </is>
      </c>
      <c r="B27" t="inlineStr">
        <is>
          <t>Bedroom</t>
        </is>
      </c>
      <c r="C27" t="inlineStr">
        <is>
          <t>Painting</t>
        </is>
      </c>
      <c r="D27" t="inlineStr">
        <is>
          <t>bedroom painting|SF|painting of walls and ceiling</t>
        </is>
      </c>
      <c r="E27" t="inlineStr">
        <is>
          <t>bedroom painting</t>
        </is>
      </c>
      <c r="F27" t="inlineStr">
        <is>
          <t>painting of walls and ceiling</t>
        </is>
      </c>
      <c r="G27" t="n">
        <v>155</v>
      </c>
      <c r="H27" t="inlineStr">
        <is>
          <t>SF</t>
        </is>
      </c>
      <c r="I27" t="n">
        <v>10.3</v>
      </c>
      <c r="J27" t="inlineStr">
        <is>
          <t>0.75</t>
        </is>
      </c>
      <c r="K27" t="inlineStr"/>
      <c r="L27">
        <f>G27*I27</f>
        <v/>
      </c>
      <c r="M27">
        <f>IF(OR(K27="",K27="Special Formula"), L27/(1-J27), L27*(1+J27))</f>
        <v/>
      </c>
      <c r="N27" t="inlineStr">
        <is>
          <t>85</t>
        </is>
      </c>
      <c r="O27" t="inlineStr">
        <is>
          <t>25</t>
        </is>
      </c>
    </row>
    <row r="28">
      <c r="A28" t="inlineStr">
        <is>
          <t>Painting &amp; Wall Coverings</t>
        </is>
      </c>
      <c r="B28" t="inlineStr">
        <is>
          <t>Living Room</t>
        </is>
      </c>
      <c r="C28" t="inlineStr">
        <is>
          <t>Painting</t>
        </is>
      </c>
      <c r="D28" t="inlineStr">
        <is>
          <t>living room painting|SF|painting of walls and ceiling</t>
        </is>
      </c>
      <c r="E28" t="inlineStr">
        <is>
          <t>living room painting</t>
        </is>
      </c>
      <c r="F28" t="inlineStr">
        <is>
          <t>painting of walls and ceiling</t>
        </is>
      </c>
      <c r="G28" t="n">
        <v>462</v>
      </c>
      <c r="H28" t="inlineStr">
        <is>
          <t>SF</t>
        </is>
      </c>
      <c r="I28" t="n">
        <v>10.3</v>
      </c>
      <c r="J28" t="inlineStr">
        <is>
          <t>0.75</t>
        </is>
      </c>
      <c r="K28" t="inlineStr"/>
      <c r="L28">
        <f>G28*I28</f>
        <v/>
      </c>
      <c r="M28">
        <f>IF(OR(K28="",K28="Special Formula"), L28/(1-J28), L28*(1+J28))</f>
        <v/>
      </c>
      <c r="N28" t="inlineStr">
        <is>
          <t>85</t>
        </is>
      </c>
      <c r="O28" t="inlineStr">
        <is>
          <t>26</t>
        </is>
      </c>
    </row>
    <row r="29">
      <c r="A29" t="inlineStr">
        <is>
          <t>First Floor Renovation</t>
        </is>
      </c>
      <c r="B29" t="inlineStr">
        <is>
          <t>First Floor</t>
        </is>
      </c>
      <c r="C29" t="inlineStr">
        <is>
          <t>Flooring</t>
        </is>
      </c>
      <c r="D29" t="inlineStr">
        <is>
          <t>new washer dryer room|UNIT|install a new washer dryer room</t>
        </is>
      </c>
      <c r="E29" t="inlineStr">
        <is>
          <t>new washer dryer room</t>
        </is>
      </c>
      <c r="F29" t="inlineStr">
        <is>
          <t>install a new washer dryer room</t>
        </is>
      </c>
      <c r="G29" t="n">
        <v>1</v>
      </c>
      <c r="H29" t="inlineStr">
        <is>
          <t>UNIT</t>
        </is>
      </c>
      <c r="I29" t="n">
        <v>3850</v>
      </c>
      <c r="J29" t="inlineStr">
        <is>
          <t>0.75</t>
        </is>
      </c>
      <c r="K29" t="inlineStr"/>
      <c r="L29">
        <f>G29*I29</f>
        <v/>
      </c>
      <c r="M29">
        <f>IF(OR(K29="",K29="Special Formula"), L29/(1-J29), L29*(1+J29))</f>
        <v/>
      </c>
      <c r="N29" t="inlineStr">
        <is>
          <t>85</t>
        </is>
      </c>
      <c r="O29" t="inlineStr">
        <is>
          <t>27</t>
        </is>
      </c>
    </row>
    <row r="30">
      <c r="A30" t="inlineStr">
        <is>
          <t>First Floor Renovation</t>
        </is>
      </c>
      <c r="B30" t="inlineStr">
        <is>
          <t>First Floor</t>
        </is>
      </c>
      <c r="C30" t="inlineStr">
        <is>
          <t>Demolition</t>
        </is>
      </c>
      <c r="D30" t="inlineStr">
        <is>
          <t>remove mud room|UNIT|remove the mud room to expand the kitchen</t>
        </is>
      </c>
      <c r="E30" t="inlineStr">
        <is>
          <t>remove mud room</t>
        </is>
      </c>
      <c r="F30" t="inlineStr">
        <is>
          <t>remove the mud room to expand the kitchen</t>
        </is>
      </c>
      <c r="G30" t="n">
        <v>1</v>
      </c>
      <c r="H30" t="inlineStr">
        <is>
          <t>UNIT</t>
        </is>
      </c>
      <c r="I30" t="n">
        <v>2500</v>
      </c>
      <c r="J30" t="inlineStr">
        <is>
          <t>0.75</t>
        </is>
      </c>
      <c r="K30" t="inlineStr"/>
      <c r="L30">
        <f>G30*I30</f>
        <v/>
      </c>
      <c r="M30">
        <f>IF(OR(K30="",K30="Special Formula"), L30/(1-J30), L30*(1+J30))</f>
        <v/>
      </c>
      <c r="N30" t="inlineStr">
        <is>
          <t>85</t>
        </is>
      </c>
      <c r="O30" t="inlineStr">
        <is>
          <t>28</t>
        </is>
      </c>
    </row>
    <row r="31">
      <c r="A31" t="inlineStr">
        <is>
          <t>Second Floor Renovation</t>
        </is>
      </c>
      <c r="B31" t="inlineStr">
        <is>
          <t>Second Floor</t>
        </is>
      </c>
      <c r="C31" t="inlineStr">
        <is>
          <t>Flooring</t>
        </is>
      </c>
      <c r="D31" t="inlineStr">
        <is>
          <t>change bedroom layout|UNIT|change the layout of the two bedrooms</t>
        </is>
      </c>
      <c r="E31" t="inlineStr">
        <is>
          <t>change bedroom layout</t>
        </is>
      </c>
      <c r="F31" t="inlineStr">
        <is>
          <t>change the layout of the two bedrooms</t>
        </is>
      </c>
      <c r="G31" t="n">
        <v>2</v>
      </c>
      <c r="H31" t="inlineStr">
        <is>
          <t>UNIT</t>
        </is>
      </c>
      <c r="I31" t="n">
        <v>2500</v>
      </c>
      <c r="J31" t="inlineStr">
        <is>
          <t>0.75</t>
        </is>
      </c>
      <c r="K31" t="inlineStr"/>
      <c r="L31">
        <f>G31*I31</f>
        <v/>
      </c>
      <c r="M31">
        <f>IF(OR(K31="",K31="Special Formula"), L31/(1-J31), L31*(1+J31))</f>
        <v/>
      </c>
      <c r="N31" t="inlineStr">
        <is>
          <t>85</t>
        </is>
      </c>
      <c r="O31" t="inlineStr">
        <is>
          <t>29</t>
        </is>
      </c>
    </row>
    <row r="32">
      <c r="A32" t="inlineStr">
        <is>
          <t>Basement Renovation</t>
        </is>
      </c>
      <c r="B32" t="inlineStr">
        <is>
          <t>Basement</t>
        </is>
      </c>
      <c r="C32" t="inlineStr">
        <is>
          <t>Other</t>
        </is>
      </c>
      <c r="D32" t="inlineStr">
        <is>
          <t>refinish basement|SF|complete refinishing of basement including walls and ceilings</t>
        </is>
      </c>
      <c r="E32" t="inlineStr">
        <is>
          <t>refinish basement</t>
        </is>
      </c>
      <c r="F32" t="inlineStr">
        <is>
          <t>complete refinishing of basement including walls and ceilings</t>
        </is>
      </c>
      <c r="G32" t="n">
        <v>500</v>
      </c>
      <c r="H32" t="inlineStr">
        <is>
          <t>SF</t>
        </is>
      </c>
      <c r="I32" t="n">
        <v>4</v>
      </c>
      <c r="J32" t="inlineStr">
        <is>
          <t>0.75</t>
        </is>
      </c>
      <c r="K32" t="inlineStr"/>
      <c r="L32">
        <f>G32*I32</f>
        <v/>
      </c>
      <c r="M32">
        <f>IF(OR(K32="",K32="Special Formula"), L32/(1-J32), L32*(1+J32))</f>
        <v/>
      </c>
      <c r="N32" t="inlineStr">
        <is>
          <t>90</t>
        </is>
      </c>
      <c r="O32" t="inlineStr">
        <is>
          <t>30</t>
        </is>
      </c>
    </row>
    <row r="33">
      <c r="A33" t="inlineStr">
        <is>
          <t>Basement Renovation</t>
        </is>
      </c>
      <c r="B33" t="inlineStr">
        <is>
          <t>Basement</t>
        </is>
      </c>
      <c r="C33" t="inlineStr">
        <is>
          <t>Other</t>
        </is>
      </c>
      <c r="D33" t="inlineStr">
        <is>
          <t>replace staircase|UNIT|replace the existing staircase in the basement</t>
        </is>
      </c>
      <c r="E33" t="inlineStr">
        <is>
          <t>replace staircase</t>
        </is>
      </c>
      <c r="F33" t="inlineStr">
        <is>
          <t>replace the existing staircase in the basement</t>
        </is>
      </c>
      <c r="G33" t="n">
        <v>1</v>
      </c>
      <c r="H33" t="inlineStr">
        <is>
          <t>UNIT</t>
        </is>
      </c>
      <c r="I33" t="n">
        <v>1200</v>
      </c>
      <c r="J33" t="inlineStr">
        <is>
          <t>0.75</t>
        </is>
      </c>
      <c r="K33" t="inlineStr"/>
      <c r="L33">
        <f>G33*I33</f>
        <v/>
      </c>
      <c r="M33">
        <f>IF(OR(K33="",K33="Special Formula"), L33/(1-J33), L33*(1+J33))</f>
        <v/>
      </c>
      <c r="N33" t="inlineStr">
        <is>
          <t>85</t>
        </is>
      </c>
      <c r="O33" t="inlineStr">
        <is>
          <t>31</t>
        </is>
      </c>
    </row>
    <row r="34">
      <c r="A34" t="inlineStr">
        <is>
          <t>Tile</t>
        </is>
      </c>
      <c r="B34" t="inlineStr">
        <is>
          <t>Basement</t>
        </is>
      </c>
      <c r="C34" t="inlineStr">
        <is>
          <t>Tile Work</t>
        </is>
      </c>
      <c r="D34" t="inlineStr">
        <is>
          <t>tile installation|SF|install new tile flooring in the basement</t>
        </is>
      </c>
      <c r="E34" t="inlineStr">
        <is>
          <t>tile installation</t>
        </is>
      </c>
      <c r="F34" t="inlineStr">
        <is>
          <t>install new tile flooring in the basement</t>
        </is>
      </c>
      <c r="G34" t="n">
        <v>500</v>
      </c>
      <c r="H34" t="inlineStr">
        <is>
          <t>SF</t>
        </is>
      </c>
      <c r="I34" t="n">
        <v>6</v>
      </c>
      <c r="J34" t="inlineStr">
        <is>
          <t>0.80</t>
        </is>
      </c>
      <c r="K34" t="inlineStr"/>
      <c r="L34">
        <f>G34*I34</f>
        <v/>
      </c>
      <c r="M34">
        <f>IF(OR(K34="",K34="Special Formula"), L34/(1-J34), L34*(1+J34))</f>
        <v/>
      </c>
      <c r="N34" t="inlineStr">
        <is>
          <t>90</t>
        </is>
      </c>
      <c r="O34" t="inlineStr">
        <is>
          <t>32</t>
        </is>
      </c>
    </row>
    <row r="35">
      <c r="A35" t="inlineStr">
        <is>
          <t>Tile</t>
        </is>
      </c>
      <c r="B35" t="inlineStr">
        <is>
          <t>Bathroom</t>
        </is>
      </c>
      <c r="C35" t="inlineStr">
        <is>
          <t>Tile Work</t>
        </is>
      </c>
      <c r="D35" t="inlineStr">
        <is>
          <t>bathroom tile work|SF|installation of bathroom floor and wall tiles</t>
        </is>
      </c>
      <c r="E35" t="inlineStr">
        <is>
          <t>bathroom tile work</t>
        </is>
      </c>
      <c r="F35" t="inlineStr">
        <is>
          <t>installation of bathroom floor and wall tiles</t>
        </is>
      </c>
      <c r="G35" t="n">
        <v>33</v>
      </c>
      <c r="H35" t="inlineStr">
        <is>
          <t>SF</t>
        </is>
      </c>
      <c r="I35" t="n">
        <v>2600</v>
      </c>
      <c r="J35" t="inlineStr">
        <is>
          <t>0.80</t>
        </is>
      </c>
      <c r="K35" t="inlineStr"/>
      <c r="L35">
        <f>G35*I35</f>
        <v/>
      </c>
      <c r="M35">
        <f>IF(OR(K35="",K35="Special Formula"), L35/(1-J35), L35*(1+J35))</f>
        <v/>
      </c>
      <c r="N35" t="inlineStr">
        <is>
          <t>90</t>
        </is>
      </c>
      <c r="O35" t="inlineStr">
        <is>
          <t>33</t>
        </is>
      </c>
    </row>
    <row r="36">
      <c r="A36" t="inlineStr">
        <is>
          <t>General Requirements</t>
        </is>
      </c>
      <c r="B36" t="inlineStr">
        <is>
          <t>General</t>
        </is>
      </c>
      <c r="C36" t="inlineStr">
        <is>
          <t>Cleaning</t>
        </is>
      </c>
      <c r="D36" t="inlineStr">
        <is>
          <t>commercial cleaning|UNIT|post construction commercial cleaning</t>
        </is>
      </c>
      <c r="E36" t="inlineStr">
        <is>
          <t>commercial cleaning</t>
        </is>
      </c>
      <c r="F36" t="inlineStr">
        <is>
          <t>post construction commercial cleaning</t>
        </is>
      </c>
      <c r="G36" t="n">
        <v>1</v>
      </c>
      <c r="H36" t="inlineStr">
        <is>
          <t>UNIT</t>
        </is>
      </c>
      <c r="I36" t="n">
        <v>2750</v>
      </c>
      <c r="J36" t="inlineStr">
        <is>
          <t>0.75</t>
        </is>
      </c>
      <c r="K36" t="inlineStr"/>
      <c r="L36">
        <f>G36*I36</f>
        <v/>
      </c>
      <c r="M36">
        <f>IF(OR(K36="",K36="Special Formula"), L36/(1-J36), L36*(1+J36))</f>
        <v/>
      </c>
      <c r="N36" t="inlineStr">
        <is>
          <t>95</t>
        </is>
      </c>
      <c r="O36" t="inlineStr">
        <is>
          <t>34</t>
        </is>
      </c>
    </row>
    <row r="37">
      <c r="A37" t="inlineStr">
        <is>
          <t>General Requirements</t>
        </is>
      </c>
      <c r="B37" t="inlineStr">
        <is>
          <t>Entire House</t>
        </is>
      </c>
      <c r="C37" t="inlineStr">
        <is>
          <t>Cleaning</t>
        </is>
      </c>
      <c r="D37" t="inlineStr">
        <is>
          <t>commercial cleaning|SF|post construction cleaning of entire house</t>
        </is>
      </c>
      <c r="E37" t="inlineStr">
        <is>
          <t>commercial cleaning</t>
        </is>
      </c>
      <c r="F37" t="inlineStr">
        <is>
          <t>post construction cleaning of entire house</t>
        </is>
      </c>
      <c r="G37" t="n">
        <v>1319</v>
      </c>
      <c r="H37" t="inlineStr">
        <is>
          <t>SF</t>
        </is>
      </c>
      <c r="I37" t="n">
        <v>1925</v>
      </c>
      <c r="J37" t="inlineStr">
        <is>
          <t>0.75</t>
        </is>
      </c>
      <c r="K37" t="inlineStr"/>
      <c r="L37">
        <f>G37*I37</f>
        <v/>
      </c>
      <c r="M37">
        <f>IF(OR(K37="",K37="Special Formula"), L37/(1-J37), L37*(1+J37))</f>
        <v/>
      </c>
      <c r="N37" t="inlineStr">
        <is>
          <t>85</t>
        </is>
      </c>
      <c r="O37" t="inlineStr">
        <is>
          <t>35</t>
        </is>
      </c>
    </row>
    <row r="38">
      <c r="A38" t="inlineStr">
        <is>
          <t>Walls &amp; Ceiling</t>
        </is>
      </c>
      <c r="B38" t="inlineStr">
        <is>
          <t>General</t>
        </is>
      </c>
      <c r="C38" t="inlineStr">
        <is>
          <t>Painting</t>
        </is>
      </c>
      <c r="D38" t="inlineStr">
        <is>
          <t>patch and paint walls|SF|patch and paint walls throughout the house</t>
        </is>
      </c>
      <c r="E38" t="inlineStr">
        <is>
          <t>patch and paint walls</t>
        </is>
      </c>
      <c r="F38" t="inlineStr">
        <is>
          <t>patch and paint walls throughout the house</t>
        </is>
      </c>
      <c r="G38" t="n">
        <v>3509</v>
      </c>
      <c r="H38" t="inlineStr">
        <is>
          <t>SF</t>
        </is>
      </c>
      <c r="I38" t="n">
        <v>10.3</v>
      </c>
      <c r="J38" t="inlineStr">
        <is>
          <t>0.70</t>
        </is>
      </c>
      <c r="K38" t="inlineStr"/>
      <c r="L38">
        <f>G38*I38</f>
        <v/>
      </c>
      <c r="M38">
        <f>IF(OR(K38="",K38="Special Formula"), L38/(1-J38), L38*(1+J38))</f>
        <v/>
      </c>
      <c r="N38" t="inlineStr">
        <is>
          <t>90</t>
        </is>
      </c>
      <c r="O38" t="inlineStr">
        <is>
          <t>36</t>
        </is>
      </c>
    </row>
    <row r="39">
      <c r="A39" t="inlineStr">
        <is>
          <t>Heating and Cooling</t>
        </is>
      </c>
      <c r="B39" t="inlineStr">
        <is>
          <t>General</t>
        </is>
      </c>
      <c r="C39" t="inlineStr">
        <is>
          <t>Flooring</t>
        </is>
      </c>
      <c r="D39" t="inlineStr">
        <is>
          <t>hvac system installation|UNIT|install hvac system for two floors</t>
        </is>
      </c>
      <c r="E39" t="inlineStr">
        <is>
          <t>hvac system installation</t>
        </is>
      </c>
      <c r="F39" t="inlineStr">
        <is>
          <t>install hvac system for two floors</t>
        </is>
      </c>
      <c r="G39" t="n">
        <v>1</v>
      </c>
      <c r="H39" t="inlineStr">
        <is>
          <t>UNIT</t>
        </is>
      </c>
      <c r="I39" t="n">
        <v>8250</v>
      </c>
      <c r="J39" t="inlineStr">
        <is>
          <t>0.60</t>
        </is>
      </c>
      <c r="K39" t="inlineStr"/>
      <c r="L39">
        <f>G39*I39</f>
        <v/>
      </c>
      <c r="M39">
        <f>IF(OR(K39="",K39="Special Formula"), L39/(1-J39), L39*(1+J39))</f>
        <v/>
      </c>
      <c r="N39" t="inlineStr">
        <is>
          <t>85</t>
        </is>
      </c>
      <c r="O39" t="inlineStr">
        <is>
          <t>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Attic Renovation</t>
        </is>
      </c>
      <c r="B2" t="inlineStr">
        <is>
          <t>Attic</t>
        </is>
      </c>
      <c r="C2" t="inlineStr">
        <is>
          <t>Other</t>
        </is>
      </c>
      <c r="D2" t="n">
        <v>3200</v>
      </c>
      <c r="E2" t="n">
        <v>12800</v>
      </c>
    </row>
    <row r="3">
      <c r="A3" t="inlineStr">
        <is>
          <t>Backsplash</t>
        </is>
      </c>
      <c r="B3" t="inlineStr">
        <is>
          <t>Kitchen</t>
        </is>
      </c>
      <c r="C3" t="inlineStr">
        <is>
          <t>Backsplash</t>
        </is>
      </c>
      <c r="D3" t="n">
        <v>22000</v>
      </c>
      <c r="E3" t="n">
        <v>110000</v>
      </c>
    </row>
    <row r="4">
      <c r="A4" t="inlineStr">
        <is>
          <t>Basement Renovation</t>
        </is>
      </c>
      <c r="B4" t="inlineStr">
        <is>
          <t>Basement</t>
        </is>
      </c>
      <c r="C4" t="inlineStr">
        <is>
          <t>Other</t>
        </is>
      </c>
      <c r="D4" t="n">
        <v>3200</v>
      </c>
      <c r="E4" t="n">
        <v>12800</v>
      </c>
    </row>
    <row r="5">
      <c r="A5" t="inlineStr">
        <is>
          <t>Cabinetry &amp; Storage</t>
        </is>
      </c>
      <c r="B5" t="inlineStr">
        <is>
          <t>Kitchen</t>
        </is>
      </c>
      <c r="C5" t="inlineStr">
        <is>
          <t>Cabinets</t>
        </is>
      </c>
      <c r="D5" t="n">
        <v>12750</v>
      </c>
      <c r="E5" t="n">
        <v>51000</v>
      </c>
    </row>
    <row r="6">
      <c r="A6" t="inlineStr">
        <is>
          <t>Countertops</t>
        </is>
      </c>
      <c r="B6" t="inlineStr">
        <is>
          <t>Kitchen</t>
        </is>
      </c>
      <c r="C6" t="inlineStr">
        <is>
          <t>Countertops</t>
        </is>
      </c>
      <c r="D6" t="n">
        <v>4365</v>
      </c>
      <c r="E6" t="n">
        <v>17460</v>
      </c>
    </row>
    <row r="7">
      <c r="A7" t="inlineStr">
        <is>
          <t>Demolition</t>
        </is>
      </c>
      <c r="B7" t="inlineStr">
        <is>
          <t>Bathroom</t>
        </is>
      </c>
      <c r="C7" t="inlineStr">
        <is>
          <t>Demolition</t>
        </is>
      </c>
      <c r="D7" t="n">
        <v>72600</v>
      </c>
      <c r="E7" t="n">
        <v>290400</v>
      </c>
    </row>
    <row r="8">
      <c r="A8" t="inlineStr">
        <is>
          <t>Demolition</t>
        </is>
      </c>
      <c r="B8" t="inlineStr">
        <is>
          <t>Kitchen</t>
        </is>
      </c>
      <c r="C8" t="inlineStr">
        <is>
          <t>Demolition</t>
        </is>
      </c>
      <c r="D8" t="n">
        <v>676500</v>
      </c>
      <c r="E8" t="n">
        <v>2706000</v>
      </c>
    </row>
    <row r="9">
      <c r="A9" t="inlineStr">
        <is>
          <t>Demolition</t>
        </is>
      </c>
      <c r="B9" t="inlineStr">
        <is>
          <t>Second Floor</t>
        </is>
      </c>
      <c r="C9" t="inlineStr">
        <is>
          <t>Demolition</t>
        </is>
      </c>
      <c r="D9" t="n">
        <v>19800</v>
      </c>
      <c r="E9" t="n">
        <v>79200</v>
      </c>
    </row>
    <row r="10">
      <c r="A10" t="inlineStr">
        <is>
          <t>Doors</t>
        </is>
      </c>
      <c r="B10" t="inlineStr">
        <is>
          <t>Attic</t>
        </is>
      </c>
      <c r="C10" t="inlineStr">
        <is>
          <t>Other</t>
        </is>
      </c>
      <c r="D10" t="n">
        <v>1320</v>
      </c>
      <c r="E10" t="n">
        <v>5280</v>
      </c>
    </row>
    <row r="11">
      <c r="A11" t="inlineStr">
        <is>
          <t>Doors</t>
        </is>
      </c>
      <c r="B11" t="inlineStr">
        <is>
          <t>First Floor</t>
        </is>
      </c>
      <c r="C11" t="inlineStr">
        <is>
          <t>Other</t>
        </is>
      </c>
      <c r="D11" t="n">
        <v>2500</v>
      </c>
      <c r="E11" t="n">
        <v>10000</v>
      </c>
    </row>
    <row r="12">
      <c r="A12" t="inlineStr">
        <is>
          <t>Electrical</t>
        </is>
      </c>
      <c r="B12" t="inlineStr">
        <is>
          <t>Attic</t>
        </is>
      </c>
      <c r="C12" t="inlineStr">
        <is>
          <t>Electrical</t>
        </is>
      </c>
      <c r="D12" t="n">
        <v>825</v>
      </c>
      <c r="E12" t="n">
        <v>3300</v>
      </c>
    </row>
    <row r="13">
      <c r="A13" t="inlineStr">
        <is>
          <t>Electrical</t>
        </is>
      </c>
      <c r="B13" t="inlineStr">
        <is>
          <t>Basement</t>
        </is>
      </c>
      <c r="C13" t="inlineStr">
        <is>
          <t>Electrical</t>
        </is>
      </c>
      <c r="D13" t="n">
        <v>8500</v>
      </c>
      <c r="E13" t="n">
        <v>34000</v>
      </c>
    </row>
    <row r="14">
      <c r="A14" t="inlineStr">
        <is>
          <t>Electrical</t>
        </is>
      </c>
      <c r="B14" t="inlineStr">
        <is>
          <t>Bathroom</t>
        </is>
      </c>
      <c r="C14" t="inlineStr">
        <is>
          <t>Electrical</t>
        </is>
      </c>
      <c r="D14" t="n">
        <v>561</v>
      </c>
      <c r="E14" t="n">
        <v>2244</v>
      </c>
    </row>
    <row r="15">
      <c r="A15" t="inlineStr">
        <is>
          <t>Electrical</t>
        </is>
      </c>
      <c r="B15" t="inlineStr">
        <is>
          <t>Bedroom</t>
        </is>
      </c>
      <c r="C15" t="inlineStr">
        <is>
          <t>Electrical</t>
        </is>
      </c>
      <c r="D15" t="n">
        <v>850</v>
      </c>
      <c r="E15" t="n">
        <v>3400</v>
      </c>
    </row>
    <row r="16">
      <c r="A16" t="inlineStr">
        <is>
          <t>Electrical</t>
        </is>
      </c>
      <c r="B16" t="inlineStr">
        <is>
          <t>First Floor</t>
        </is>
      </c>
      <c r="C16" t="inlineStr">
        <is>
          <t>Electrical</t>
        </is>
      </c>
      <c r="D16" t="n">
        <v>1650</v>
      </c>
      <c r="E16" t="n">
        <v>6600</v>
      </c>
    </row>
    <row r="17">
      <c r="A17" t="inlineStr">
        <is>
          <t>Electrical</t>
        </is>
      </c>
      <c r="B17" t="inlineStr">
        <is>
          <t>Kitchen</t>
        </is>
      </c>
      <c r="C17" t="inlineStr">
        <is>
          <t>Electrical</t>
        </is>
      </c>
      <c r="D17" t="n">
        <v>3485</v>
      </c>
      <c r="E17" t="n">
        <v>13940</v>
      </c>
    </row>
    <row r="18">
      <c r="A18" t="inlineStr">
        <is>
          <t>Electrical</t>
        </is>
      </c>
      <c r="B18" t="inlineStr">
        <is>
          <t>Living Room</t>
        </is>
      </c>
      <c r="C18" t="inlineStr">
        <is>
          <t>Electrical</t>
        </is>
      </c>
      <c r="D18" t="n">
        <v>4182</v>
      </c>
      <c r="E18" t="n">
        <v>16728</v>
      </c>
    </row>
    <row r="19">
      <c r="A19" t="inlineStr">
        <is>
          <t>First Floor Renovation</t>
        </is>
      </c>
      <c r="B19" t="inlineStr">
        <is>
          <t>First Floor</t>
        </is>
      </c>
      <c r="C19" t="inlineStr">
        <is>
          <t>Demolition</t>
        </is>
      </c>
      <c r="D19" t="n">
        <v>2500</v>
      </c>
      <c r="E19" t="n">
        <v>10000</v>
      </c>
    </row>
    <row r="20">
      <c r="A20" t="inlineStr">
        <is>
          <t>First Floor Renovation</t>
        </is>
      </c>
      <c r="B20" t="inlineStr">
        <is>
          <t>First Floor</t>
        </is>
      </c>
      <c r="C20" t="inlineStr">
        <is>
          <t>Flooring</t>
        </is>
      </c>
      <c r="D20" t="n">
        <v>3850</v>
      </c>
      <c r="E20" t="n">
        <v>15400</v>
      </c>
    </row>
    <row r="21">
      <c r="A21" t="inlineStr">
        <is>
          <t>Flooring</t>
        </is>
      </c>
      <c r="B21" t="inlineStr">
        <is>
          <t>Attic</t>
        </is>
      </c>
      <c r="C21" t="inlineStr">
        <is>
          <t>Flooring</t>
        </is>
      </c>
      <c r="D21" t="n">
        <v>3000</v>
      </c>
      <c r="E21" t="n">
        <v>12000</v>
      </c>
    </row>
    <row r="22">
      <c r="A22" t="inlineStr">
        <is>
          <t>Flooring</t>
        </is>
      </c>
      <c r="B22" t="inlineStr">
        <is>
          <t>Bedroom</t>
        </is>
      </c>
      <c r="C22" t="inlineStr">
        <is>
          <t>Flooring</t>
        </is>
      </c>
      <c r="D22" t="n">
        <v>300</v>
      </c>
      <c r="E22" t="n">
        <v>1200</v>
      </c>
    </row>
    <row r="23">
      <c r="A23" t="inlineStr">
        <is>
          <t>Flooring</t>
        </is>
      </c>
      <c r="B23" t="inlineStr">
        <is>
          <t>First Floor</t>
        </is>
      </c>
      <c r="C23" t="inlineStr">
        <is>
          <t>Flooring</t>
        </is>
      </c>
      <c r="D23" t="n">
        <v>7914</v>
      </c>
      <c r="E23" t="n">
        <v>31656</v>
      </c>
    </row>
    <row r="24">
      <c r="A24" t="inlineStr">
        <is>
          <t>Flooring</t>
        </is>
      </c>
      <c r="B24" t="inlineStr">
        <is>
          <t>Kitchen</t>
        </is>
      </c>
      <c r="C24" t="inlineStr">
        <is>
          <t>Flooring</t>
        </is>
      </c>
      <c r="D24" t="n">
        <v>1230</v>
      </c>
      <c r="E24" t="n">
        <v>4920</v>
      </c>
    </row>
    <row r="25">
      <c r="A25" t="inlineStr">
        <is>
          <t>Flooring</t>
        </is>
      </c>
      <c r="B25" t="inlineStr">
        <is>
          <t>Living Room</t>
        </is>
      </c>
      <c r="C25" t="inlineStr">
        <is>
          <t>Flooring</t>
        </is>
      </c>
      <c r="D25" t="n">
        <v>1476</v>
      </c>
      <c r="E25" t="n">
        <v>5904</v>
      </c>
    </row>
    <row r="26">
      <c r="A26" t="inlineStr">
        <is>
          <t>Flooring</t>
        </is>
      </c>
      <c r="B26" t="inlineStr">
        <is>
          <t>Second Floor</t>
        </is>
      </c>
      <c r="C26" t="inlineStr">
        <is>
          <t>Flooring</t>
        </is>
      </c>
      <c r="D26" t="n">
        <v>6000</v>
      </c>
      <c r="E26" t="n">
        <v>24000</v>
      </c>
    </row>
    <row r="27">
      <c r="A27" t="inlineStr">
        <is>
          <t>General Requirements</t>
        </is>
      </c>
      <c r="B27" t="inlineStr">
        <is>
          <t>Entire House</t>
        </is>
      </c>
      <c r="C27" t="inlineStr">
        <is>
          <t>Cleaning</t>
        </is>
      </c>
      <c r="D27" t="n">
        <v>2539075</v>
      </c>
      <c r="E27" t="n">
        <v>10156300</v>
      </c>
    </row>
    <row r="28">
      <c r="A28" t="inlineStr">
        <is>
          <t>General Requirements</t>
        </is>
      </c>
      <c r="B28" t="inlineStr">
        <is>
          <t>General</t>
        </is>
      </c>
      <c r="C28" t="inlineStr">
        <is>
          <t>Cleaning</t>
        </is>
      </c>
      <c r="D28" t="n">
        <v>2750</v>
      </c>
      <c r="E28" t="n">
        <v>11000</v>
      </c>
    </row>
    <row r="29">
      <c r="A29" t="inlineStr">
        <is>
          <t>Heating and Cooling</t>
        </is>
      </c>
      <c r="B29" t="inlineStr">
        <is>
          <t>General</t>
        </is>
      </c>
      <c r="C29" t="inlineStr">
        <is>
          <t>Flooring</t>
        </is>
      </c>
      <c r="D29" t="n">
        <v>8250</v>
      </c>
      <c r="E29" t="n">
        <v>20625</v>
      </c>
    </row>
    <row r="30">
      <c r="A30" t="inlineStr">
        <is>
          <t>Painting &amp; Wall Coverings</t>
        </is>
      </c>
      <c r="B30" t="inlineStr">
        <is>
          <t>Bedroom</t>
        </is>
      </c>
      <c r="C30" t="inlineStr">
        <is>
          <t>Painting</t>
        </is>
      </c>
      <c r="D30" t="n">
        <v>1596.5</v>
      </c>
      <c r="E30" t="n">
        <v>6386</v>
      </c>
    </row>
    <row r="31">
      <c r="A31" t="inlineStr">
        <is>
          <t>Painting &amp; Wall Coverings</t>
        </is>
      </c>
      <c r="B31" t="inlineStr">
        <is>
          <t>Living Room</t>
        </is>
      </c>
      <c r="C31" t="inlineStr">
        <is>
          <t>Painting</t>
        </is>
      </c>
      <c r="D31" t="n">
        <v>4758.6</v>
      </c>
      <c r="E31" t="n">
        <v>19034.4</v>
      </c>
    </row>
    <row r="32">
      <c r="A32" t="inlineStr">
        <is>
          <t>Plumbing</t>
        </is>
      </c>
      <c r="B32" t="inlineStr">
        <is>
          <t>Bathroom</t>
        </is>
      </c>
      <c r="C32" t="inlineStr">
        <is>
          <t>Demolition</t>
        </is>
      </c>
      <c r="D32" t="n">
        <v>7700</v>
      </c>
      <c r="E32" t="n">
        <v>30800</v>
      </c>
    </row>
    <row r="33">
      <c r="A33" t="inlineStr">
        <is>
          <t>Plumbing</t>
        </is>
      </c>
      <c r="B33" t="inlineStr">
        <is>
          <t>Kitchen</t>
        </is>
      </c>
      <c r="C33" t="inlineStr">
        <is>
          <t>Demolition</t>
        </is>
      </c>
      <c r="D33" t="n">
        <v>3850</v>
      </c>
      <c r="E33" t="n">
        <v>15400</v>
      </c>
    </row>
    <row r="34">
      <c r="A34" t="inlineStr">
        <is>
          <t>Second Floor Renovation</t>
        </is>
      </c>
      <c r="B34" t="inlineStr">
        <is>
          <t>Second Floor</t>
        </is>
      </c>
      <c r="C34" t="inlineStr">
        <is>
          <t>Flooring</t>
        </is>
      </c>
      <c r="D34" t="n">
        <v>5000</v>
      </c>
      <c r="E34" t="n">
        <v>20000</v>
      </c>
    </row>
    <row r="35">
      <c r="A35" t="inlineStr">
        <is>
          <t>Tile</t>
        </is>
      </c>
      <c r="B35" t="inlineStr">
        <is>
          <t>Basement</t>
        </is>
      </c>
      <c r="C35" t="inlineStr">
        <is>
          <t>Tile Work</t>
        </is>
      </c>
      <c r="D35" t="n">
        <v>3000</v>
      </c>
      <c r="E35" t="n">
        <v>15000</v>
      </c>
    </row>
    <row r="36">
      <c r="A36" t="inlineStr">
        <is>
          <t>Tile</t>
        </is>
      </c>
      <c r="B36" t="inlineStr">
        <is>
          <t>Bathroom</t>
        </is>
      </c>
      <c r="C36" t="inlineStr">
        <is>
          <t>Tile Work</t>
        </is>
      </c>
      <c r="D36" t="n">
        <v>85800</v>
      </c>
      <c r="E36" t="n">
        <v>429000</v>
      </c>
    </row>
    <row r="37">
      <c r="A37" t="inlineStr">
        <is>
          <t>Walls &amp; Ceiling</t>
        </is>
      </c>
      <c r="B37" t="inlineStr">
        <is>
          <t>General</t>
        </is>
      </c>
      <c r="C37" t="inlineStr">
        <is>
          <t>Painting</t>
        </is>
      </c>
      <c r="D37" t="n">
        <v>36142.7</v>
      </c>
      <c r="E37" t="n">
        <v>120475.67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Attic Renovation</t>
        </is>
      </c>
      <c r="B2" t="n">
        <v>3200</v>
      </c>
      <c r="C2" t="n">
        <v>12800</v>
      </c>
    </row>
    <row r="3">
      <c r="A3" t="inlineStr">
        <is>
          <t>Backsplash</t>
        </is>
      </c>
      <c r="B3" t="n">
        <v>22000</v>
      </c>
      <c r="C3" t="n">
        <v>110000</v>
      </c>
    </row>
    <row r="4">
      <c r="A4" t="inlineStr">
        <is>
          <t>Basement Renovation</t>
        </is>
      </c>
      <c r="B4" t="n">
        <v>3200</v>
      </c>
      <c r="C4" t="n">
        <v>12800</v>
      </c>
    </row>
    <row r="5">
      <c r="A5" t="inlineStr">
        <is>
          <t>Cabinetry &amp; Storage</t>
        </is>
      </c>
      <c r="B5" t="n">
        <v>12750</v>
      </c>
      <c r="C5" t="n">
        <v>51000</v>
      </c>
    </row>
    <row r="6">
      <c r="A6" t="inlineStr">
        <is>
          <t>Countertops</t>
        </is>
      </c>
      <c r="B6" t="n">
        <v>4365</v>
      </c>
      <c r="C6" t="n">
        <v>17460</v>
      </c>
    </row>
    <row r="7">
      <c r="A7" t="inlineStr">
        <is>
          <t>Demolition</t>
        </is>
      </c>
      <c r="B7" t="n">
        <v>768900</v>
      </c>
      <c r="C7" t="n">
        <v>3075600</v>
      </c>
    </row>
    <row r="8">
      <c r="A8" t="inlineStr">
        <is>
          <t>Doors</t>
        </is>
      </c>
      <c r="B8" t="n">
        <v>3820</v>
      </c>
      <c r="C8" t="n">
        <v>15280</v>
      </c>
    </row>
    <row r="9">
      <c r="A9" t="inlineStr">
        <is>
          <t>Electrical</t>
        </is>
      </c>
      <c r="B9" t="n">
        <v>20053</v>
      </c>
      <c r="C9" t="n">
        <v>80212</v>
      </c>
    </row>
    <row r="10">
      <c r="A10" t="inlineStr">
        <is>
          <t>First Floor Renovation</t>
        </is>
      </c>
      <c r="B10" t="n">
        <v>6350</v>
      </c>
      <c r="C10" t="n">
        <v>25400</v>
      </c>
    </row>
    <row r="11">
      <c r="A11" t="inlineStr">
        <is>
          <t>Flooring</t>
        </is>
      </c>
      <c r="B11" t="n">
        <v>19920</v>
      </c>
      <c r="C11" t="n">
        <v>79680</v>
      </c>
    </row>
    <row r="12">
      <c r="A12" t="inlineStr">
        <is>
          <t>General Requirements</t>
        </is>
      </c>
      <c r="B12" t="n">
        <v>2541825</v>
      </c>
      <c r="C12" t="n">
        <v>10167300</v>
      </c>
    </row>
    <row r="13">
      <c r="A13" t="inlineStr">
        <is>
          <t>Heating and Cooling</t>
        </is>
      </c>
      <c r="B13" t="n">
        <v>8250</v>
      </c>
      <c r="C13" t="n">
        <v>20625</v>
      </c>
    </row>
    <row r="14">
      <c r="A14" t="inlineStr">
        <is>
          <t>Painting &amp; Wall Coverings</t>
        </is>
      </c>
      <c r="B14" t="n">
        <v>6355.1</v>
      </c>
      <c r="C14" t="n">
        <v>25420.4</v>
      </c>
    </row>
    <row r="15">
      <c r="A15" t="inlineStr">
        <is>
          <t>Plumbing</t>
        </is>
      </c>
      <c r="B15" t="n">
        <v>11550</v>
      </c>
      <c r="C15" t="n">
        <v>46200</v>
      </c>
    </row>
    <row r="16">
      <c r="A16" t="inlineStr">
        <is>
          <t>Second Floor Renovation</t>
        </is>
      </c>
      <c r="B16" t="n">
        <v>5000</v>
      </c>
      <c r="C16" t="n">
        <v>20000</v>
      </c>
    </row>
    <row r="17">
      <c r="A17" t="inlineStr">
        <is>
          <t>Tile</t>
        </is>
      </c>
      <c r="B17" t="n">
        <v>88800</v>
      </c>
      <c r="C17" t="n">
        <v>444000</v>
      </c>
    </row>
    <row r="18">
      <c r="A18" t="inlineStr">
        <is>
          <t>Walls &amp; Ceiling</t>
        </is>
      </c>
      <c r="B18" t="n">
        <v>36142.7</v>
      </c>
      <c r="C18" t="n">
        <v>120475.67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2025-09-25T18:53:44Z</dcterms:created>
  <dcterms:modified xmlns:dcterms="http://purl.org/dc/terms/" xmlns:xsi="http://www.w3.org/2001/XMLSchema-instance" xsi:type="dcterms:W3CDTF">2025-09-25T18:53:44Z</dcterms:modified>
</cp:coreProperties>
</file>