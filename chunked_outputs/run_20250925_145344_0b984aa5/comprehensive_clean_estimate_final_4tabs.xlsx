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inlineStr">
        <is>
          <t>new staircase installation|UNIT|install new staircase to attic</t>
        </is>
      </c>
      <c r="E2" t="inlineStr">
        <is>
          <t>new staircase installation</t>
        </is>
      </c>
      <c r="F2" t="inlineStr">
        <is>
          <t>install new staircase to attic</t>
        </is>
      </c>
      <c r="G2" t="n">
        <v>1</v>
      </c>
      <c r="H2" t="inlineStr">
        <is>
          <t>UNIT</t>
        </is>
      </c>
      <c r="I2" t="n">
        <v>3500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85</t>
        </is>
      </c>
      <c r="O2" t="inlineStr">
        <is>
          <t>0</t>
        </is>
      </c>
    </row>
    <row r="3">
      <c r="A3" t="inlineStr">
        <is>
          <t>Attic Renovation</t>
        </is>
      </c>
      <c r="B3" t="inlineStr">
        <is>
          <t>Attic</t>
        </is>
      </c>
      <c r="C3" t="inlineStr">
        <is>
          <t>Flooring</t>
        </is>
      </c>
      <c r="D3" t="inlineStr">
        <is>
          <t>attic refinishing|SF|refinish attic including walls and floors</t>
        </is>
      </c>
      <c r="E3" t="inlineStr">
        <is>
          <t>attic refinishing</t>
        </is>
      </c>
      <c r="F3" t="inlineStr">
        <is>
          <t>refinish attic including walls and floors</t>
        </is>
      </c>
      <c r="G3" t="n">
        <v>500</v>
      </c>
      <c r="H3" t="inlineStr">
        <is>
          <t>SF</t>
        </is>
      </c>
      <c r="I3" t="n">
        <v>4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Doors</t>
        </is>
      </c>
      <c r="B4" t="inlineStr">
        <is>
          <t>Attic</t>
        </is>
      </c>
      <c r="C4" t="inlineStr">
        <is>
          <t>Other</t>
        </is>
      </c>
      <c r="D4" t="inlineStr">
        <is>
          <t>barn door installation|UNIT|install barn door in attic</t>
        </is>
      </c>
      <c r="E4" t="inlineStr">
        <is>
          <t>barn door installation</t>
        </is>
      </c>
      <c r="F4" t="inlineStr">
        <is>
          <t>install barn door in attic</t>
        </is>
      </c>
      <c r="G4" t="n">
        <v>1</v>
      </c>
      <c r="H4" t="inlineStr">
        <is>
          <t>UNIT</t>
        </is>
      </c>
      <c r="I4" t="n">
        <v>1320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Doors</t>
        </is>
      </c>
      <c r="B5" t="inlineStr">
        <is>
          <t>First Floor</t>
        </is>
      </c>
      <c r="C5" t="inlineStr">
        <is>
          <t>Other</t>
        </is>
      </c>
      <c r="D5" t="inlineStr">
        <is>
          <t>sliding door installation|UNIT|replace window with sliding door on front balcony</t>
        </is>
      </c>
      <c r="E5" t="inlineStr">
        <is>
          <t>sliding door installation</t>
        </is>
      </c>
      <c r="F5" t="inlineStr">
        <is>
          <t>replace window with sliding door on front balcony</t>
        </is>
      </c>
      <c r="G5" t="n">
        <v>1</v>
      </c>
      <c r="H5" t="inlineStr">
        <is>
          <t>UNIT</t>
        </is>
      </c>
      <c r="I5" t="n">
        <v>1500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85</t>
        </is>
      </c>
      <c r="O5" t="inlineStr">
        <is>
          <t>3</t>
        </is>
      </c>
    </row>
    <row r="6">
      <c r="A6" t="inlineStr">
        <is>
          <t>Flooring</t>
        </is>
      </c>
      <c r="B6" t="inlineStr">
        <is>
          <t>First Floor</t>
        </is>
      </c>
      <c r="C6" t="inlineStr">
        <is>
          <t>Flooring</t>
        </is>
      </c>
      <c r="D6" t="inlineStr">
        <is>
          <t>hardwood floor installation|SF|install new hardwood flooring throughout the first floor</t>
        </is>
      </c>
      <c r="E6" t="inlineStr">
        <is>
          <t>hardwood floor installation</t>
        </is>
      </c>
      <c r="F6" t="inlineStr">
        <is>
          <t>install new hardwood flooring throughout the first floor</t>
        </is>
      </c>
      <c r="G6" t="n">
        <v>1000</v>
      </c>
      <c r="H6" t="inlineStr">
        <is>
          <t>SF</t>
        </is>
      </c>
      <c r="I6" t="n">
        <v>6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85</t>
        </is>
      </c>
      <c r="O6" t="inlineStr">
        <is>
          <t>4</t>
        </is>
      </c>
    </row>
    <row r="7">
      <c r="A7" t="inlineStr">
        <is>
          <t>Flooring</t>
        </is>
      </c>
      <c r="B7" t="inlineStr">
        <is>
          <t>Second Floor</t>
        </is>
      </c>
      <c r="C7" t="inlineStr">
        <is>
          <t>Flooring</t>
        </is>
      </c>
      <c r="D7" t="inlineStr">
        <is>
          <t>floor installation|SF|install new flooring throughout the second floor</t>
        </is>
      </c>
      <c r="E7" t="inlineStr">
        <is>
          <t>floor installation</t>
        </is>
      </c>
      <c r="F7" t="inlineStr">
        <is>
          <t>install new flooring throughout the second floor</t>
        </is>
      </c>
      <c r="G7" t="n">
        <v>1000</v>
      </c>
      <c r="H7" t="inlineStr">
        <is>
          <t>SF</t>
        </is>
      </c>
      <c r="I7" t="n">
        <v>6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85</t>
        </is>
      </c>
      <c r="O7" t="inlineStr">
        <is>
          <t>5</t>
        </is>
      </c>
    </row>
    <row r="8">
      <c r="A8" t="inlineStr">
        <is>
          <t>Electrical</t>
        </is>
      </c>
      <c r="B8" t="inlineStr">
        <is>
          <t>Whole House</t>
        </is>
      </c>
      <c r="C8" t="inlineStr">
        <is>
          <t>Electrical</t>
        </is>
      </c>
      <c r="D8" t="inlineStr">
        <is>
          <t>electrical rewiring|SF|rewire the whole house for better electrical organization</t>
        </is>
      </c>
      <c r="E8" t="inlineStr">
        <is>
          <t>electrical rewiring</t>
        </is>
      </c>
      <c r="F8" t="inlineStr">
        <is>
          <t>rewire the whole house for better electrical organization</t>
        </is>
      </c>
      <c r="G8" t="n">
        <v>2046</v>
      </c>
      <c r="H8" t="inlineStr">
        <is>
          <t>SF</t>
        </is>
      </c>
      <c r="I8" t="n">
        <v>17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90</t>
        </is>
      </c>
      <c r="O8" t="inlineStr">
        <is>
          <t>6</t>
        </is>
      </c>
    </row>
    <row r="9">
      <c r="A9" t="inlineStr">
        <is>
          <t>Walls &amp; Ceiling</t>
        </is>
      </c>
      <c r="B9" t="inlineStr">
        <is>
          <t>Whole House</t>
        </is>
      </c>
      <c r="C9" t="inlineStr">
        <is>
          <t>Painting</t>
        </is>
      </c>
      <c r="D9" t="inlineStr">
        <is>
          <t>wall patching and painting|SF|patch and paint walls throughout the house</t>
        </is>
      </c>
      <c r="E9" t="inlineStr">
        <is>
          <t>wall patching and painting</t>
        </is>
      </c>
      <c r="F9" t="inlineStr">
        <is>
          <t>patch and paint walls throughout the house</t>
        </is>
      </c>
      <c r="G9" t="n">
        <v>3000</v>
      </c>
      <c r="H9" t="inlineStr">
        <is>
          <t>SF</t>
        </is>
      </c>
      <c r="I9" t="n">
        <v>10.3</v>
      </c>
      <c r="J9" t="inlineStr">
        <is>
          <t>0.70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85</t>
        </is>
      </c>
      <c r="O9" t="inlineStr">
        <is>
          <t>7</t>
        </is>
      </c>
    </row>
    <row r="10">
      <c r="A10" t="inlineStr">
        <is>
          <t>Heating and Cooling</t>
        </is>
      </c>
      <c r="B10" t="inlineStr">
        <is>
          <t>Whole House</t>
        </is>
      </c>
      <c r="C10" t="inlineStr">
        <is>
          <t>Flooring</t>
        </is>
      </c>
      <c r="D10" t="inlineStr">
        <is>
          <t>hvac system installation|UNIT|install hvac system for two floors</t>
        </is>
      </c>
      <c r="E10" t="inlineStr">
        <is>
          <t>hvac system installation</t>
        </is>
      </c>
      <c r="F10" t="inlineStr">
        <is>
          <t>install hvac system for two floors</t>
        </is>
      </c>
      <c r="G10" t="n">
        <v>1</v>
      </c>
      <c r="H10" t="inlineStr">
        <is>
          <t>UNIT</t>
        </is>
      </c>
      <c r="I10" t="n">
        <v>16500</v>
      </c>
      <c r="J10" t="inlineStr">
        <is>
          <t>0.60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85</t>
        </is>
      </c>
      <c r="O10" t="inlineStr">
        <is>
          <t>8</t>
        </is>
      </c>
    </row>
    <row r="11">
      <c r="A11" t="inlineStr">
        <is>
          <t>Basement Renovation</t>
        </is>
      </c>
      <c r="B11" t="inlineStr">
        <is>
          <t>Basement</t>
        </is>
      </c>
      <c r="C11" t="inlineStr">
        <is>
          <t>Other</t>
        </is>
      </c>
      <c r="D11" t="inlineStr">
        <is>
          <t>crawl space closure|UNIT|close crawl space with concrete</t>
        </is>
      </c>
      <c r="E11" t="inlineStr">
        <is>
          <t>crawl space closure</t>
        </is>
      </c>
      <c r="F11" t="inlineStr">
        <is>
          <t>close crawl space with concrete</t>
        </is>
      </c>
      <c r="G11" t="n">
        <v>1</v>
      </c>
      <c r="H11" t="inlineStr">
        <is>
          <t>UNIT</t>
        </is>
      </c>
      <c r="I11" t="n">
        <v>2500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90</t>
        </is>
      </c>
      <c r="O11" t="inlineStr">
        <is>
          <t>9</t>
        </is>
      </c>
    </row>
    <row r="12">
      <c r="A12" t="inlineStr">
        <is>
          <t>Basement Renovation</t>
        </is>
      </c>
      <c r="B12" t="inlineStr">
        <is>
          <t>Basement</t>
        </is>
      </c>
      <c r="C12" t="inlineStr">
        <is>
          <t>Other</t>
        </is>
      </c>
      <c r="D12" t="inlineStr">
        <is>
          <t>basement refinishing|SF|refinish basement including walls and ceilings</t>
        </is>
      </c>
      <c r="E12" t="inlineStr">
        <is>
          <t>basement refinishing</t>
        </is>
      </c>
      <c r="F12" t="inlineStr">
        <is>
          <t>refinish basement including walls and ceilings</t>
        </is>
      </c>
      <c r="G12" t="n">
        <v>500</v>
      </c>
      <c r="H12" t="inlineStr">
        <is>
          <t>SF</t>
        </is>
      </c>
      <c r="I12" t="n">
        <v>4</v>
      </c>
      <c r="J12" t="inlineStr">
        <is>
          <t>0.75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85</t>
        </is>
      </c>
      <c r="O12" t="inlineStr">
        <is>
          <t>10</t>
        </is>
      </c>
    </row>
    <row r="13">
      <c r="A13" t="inlineStr">
        <is>
          <t>Tile</t>
        </is>
      </c>
      <c r="B13" t="inlineStr">
        <is>
          <t>Basement</t>
        </is>
      </c>
      <c r="C13" t="inlineStr">
        <is>
          <t>Tile Work</t>
        </is>
      </c>
      <c r="D13" t="inlineStr">
        <is>
          <t>tile installation|SF|install tile flooring in basement</t>
        </is>
      </c>
      <c r="E13" t="inlineStr">
        <is>
          <t>tile installation</t>
        </is>
      </c>
      <c r="F13" t="inlineStr">
        <is>
          <t>install tile flooring in basement</t>
        </is>
      </c>
      <c r="G13" t="n">
        <v>500</v>
      </c>
      <c r="H13" t="inlineStr">
        <is>
          <t>SF</t>
        </is>
      </c>
      <c r="I13" t="n">
        <v>6</v>
      </c>
      <c r="J13" t="inlineStr">
        <is>
          <t>0.80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85</t>
        </is>
      </c>
      <c r="O13" t="inlineStr">
        <is>
          <t>11</t>
        </is>
      </c>
    </row>
    <row r="14">
      <c r="A14" t="inlineStr">
        <is>
          <t>Tile</t>
        </is>
      </c>
      <c r="B14" t="inlineStr">
        <is>
          <t>Bathroom 1</t>
        </is>
      </c>
      <c r="C14" t="inlineStr">
        <is>
          <t>Plumbing</t>
        </is>
      </c>
      <c r="D14" t="inlineStr">
        <is>
          <t>bathroom tile work|SF|floor tile preparation installation wall tile installation shower tile grout ins</t>
        </is>
      </c>
      <c r="E14" t="inlineStr">
        <is>
          <t>bathroom tile work</t>
        </is>
      </c>
      <c r="F14" t="inlineStr">
        <is>
          <t>floor tile preparation installation wall tile installation shower tile grout installation and tile sealing</t>
        </is>
      </c>
      <c r="G14" t="n">
        <v>80</v>
      </c>
      <c r="H14" t="inlineStr">
        <is>
          <t>SF</t>
        </is>
      </c>
      <c r="I14" t="n">
        <v>4100</v>
      </c>
      <c r="J14" t="inlineStr">
        <is>
          <t>0.80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95</t>
        </is>
      </c>
      <c r="O14" t="inlineStr">
        <is>
          <t>12</t>
        </is>
      </c>
    </row>
    <row r="15">
      <c r="A15" t="inlineStr">
        <is>
          <t>Demolition</t>
        </is>
      </c>
      <c r="B15" t="inlineStr">
        <is>
          <t>Bathroom 1</t>
        </is>
      </c>
      <c r="C15" t="inlineStr">
        <is>
          <t>Demolition</t>
        </is>
      </c>
      <c r="D15" t="inlineStr">
        <is>
          <t>bathroom demolition|UNIT|demolition of bathroom including removal of old fixtures tile vanity flooring an</t>
        </is>
      </c>
      <c r="E15" t="inlineStr">
        <is>
          <t>bathroom demolition</t>
        </is>
      </c>
      <c r="F15" t="inlineStr">
        <is>
          <t>demolition of bathroom including removal of old fixtures tile vanity flooring and debris removal</t>
        </is>
      </c>
      <c r="G15" t="n">
        <v>1</v>
      </c>
      <c r="H15" t="inlineStr">
        <is>
          <t>UNIT</t>
        </is>
      </c>
      <c r="I15" t="n">
        <v>2200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95</t>
        </is>
      </c>
      <c r="O15" t="inlineStr">
        <is>
          <t>13</t>
        </is>
      </c>
    </row>
    <row r="16">
      <c r="A16" t="inlineStr">
        <is>
          <t>Demolition</t>
        </is>
      </c>
      <c r="B16" t="inlineStr">
        <is>
          <t>Kitchen</t>
        </is>
      </c>
      <c r="C16" t="inlineStr">
        <is>
          <t>Demolition</t>
        </is>
      </c>
      <c r="D16" t="inlineStr">
        <is>
          <t>kitchen demolition|UNIT|demolition of kitchen including removal of cabinets countertops appliances floor</t>
        </is>
      </c>
      <c r="E16" t="inlineStr">
        <is>
          <t>kitchen demolition</t>
        </is>
      </c>
      <c r="F16" t="inlineStr">
        <is>
          <t>demolition of kitchen including removal of cabinets countertops appliances flooring backsplash electrical disconnection plumbing disconnection debris removal and protection of adjacent areas</t>
        </is>
      </c>
      <c r="G16" t="n">
        <v>1</v>
      </c>
      <c r="H16" t="inlineStr">
        <is>
          <t>UNIT</t>
        </is>
      </c>
      <c r="I16" t="n">
        <v>3300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95</t>
        </is>
      </c>
      <c r="O16" t="inlineStr">
        <is>
          <t>14</t>
        </is>
      </c>
    </row>
    <row r="17">
      <c r="A17" t="inlineStr">
        <is>
          <t>Demolition</t>
        </is>
      </c>
      <c r="B17" t="inlineStr">
        <is>
          <t>Bedroom 1</t>
        </is>
      </c>
      <c r="C17" t="inlineStr">
        <is>
          <t>Demolition</t>
        </is>
      </c>
      <c r="D17" t="inlineStr">
        <is>
          <t>bedroom flooring|SF|subfloor preparation installation of hardwood flooring transition strips and clo</t>
        </is>
      </c>
      <c r="E17" t="inlineStr">
        <is>
          <t>bedroom flooring</t>
        </is>
      </c>
      <c r="F17" t="inlineStr">
        <is>
          <t>subfloor preparation installation of hardwood flooring transition strips and closet flooring</t>
        </is>
      </c>
      <c r="G17" t="n">
        <v>387</v>
      </c>
      <c r="H17" t="inlineStr">
        <is>
          <t>SF</t>
        </is>
      </c>
      <c r="I17" t="n">
        <v>6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95</t>
        </is>
      </c>
      <c r="O17" t="inlineStr">
        <is>
          <t>15</t>
        </is>
      </c>
    </row>
    <row r="18">
      <c r="A18" t="inlineStr">
        <is>
          <t>Demolition</t>
        </is>
      </c>
      <c r="B18" t="inlineStr">
        <is>
          <t>Living Room</t>
        </is>
      </c>
      <c r="C18" t="inlineStr">
        <is>
          <t>Demolition</t>
        </is>
      </c>
      <c r="D18" t="inlineStr">
        <is>
          <t>living room flooring|SF|subfloor preparation installation of hardwood flooring refinishing trim installa</t>
        </is>
      </c>
      <c r="E18" t="inlineStr">
        <is>
          <t>living room flooring</t>
        </is>
      </c>
      <c r="F18" t="inlineStr">
        <is>
          <t>subfloor preparation installation of hardwood flooring refinishing trim installation and transition strips</t>
        </is>
      </c>
      <c r="G18" t="n">
        <v>200</v>
      </c>
      <c r="H18" t="inlineStr">
        <is>
          <t>SF</t>
        </is>
      </c>
      <c r="I18" t="n">
        <v>6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95</t>
        </is>
      </c>
      <c r="O18" t="inlineStr">
        <is>
          <t>16</t>
        </is>
      </c>
    </row>
    <row r="19">
      <c r="A19" t="inlineStr">
        <is>
          <t>Demolition</t>
        </is>
      </c>
      <c r="B19" t="inlineStr">
        <is>
          <t>Primary Bathroom</t>
        </is>
      </c>
      <c r="C19" t="inlineStr">
        <is>
          <t>Demolition</t>
        </is>
      </c>
      <c r="D19" t="inlineStr">
        <is>
          <t>demolition renovation|UNIT|demolition and renovation of primary bathroom</t>
        </is>
      </c>
      <c r="E19" t="inlineStr">
        <is>
          <t>demolition renovation</t>
        </is>
      </c>
      <c r="F19" t="inlineStr">
        <is>
          <t>demolition and renovation of primary bathroom</t>
        </is>
      </c>
      <c r="G19" t="n">
        <v>1</v>
      </c>
      <c r="H19" t="inlineStr">
        <is>
          <t>UNIT</t>
        </is>
      </c>
      <c r="I19" t="n">
        <v>9900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90</t>
        </is>
      </c>
      <c r="O19" t="inlineStr">
        <is>
          <t>17</t>
        </is>
      </c>
    </row>
    <row r="20">
      <c r="A20" t="inlineStr">
        <is>
          <t>Demolition</t>
        </is>
      </c>
      <c r="B20" t="inlineStr">
        <is>
          <t>Secondary Bathroom</t>
        </is>
      </c>
      <c r="C20" t="inlineStr">
        <is>
          <t>Demolition</t>
        </is>
      </c>
      <c r="D20" t="inlineStr">
        <is>
          <t>demolition renovation|UNIT|demolition and renovation of secondary bathroom</t>
        </is>
      </c>
      <c r="E20" t="inlineStr">
        <is>
          <t>demolition renovation</t>
        </is>
      </c>
      <c r="F20" t="inlineStr">
        <is>
          <t>demolition and renovation of secondary bathroom</t>
        </is>
      </c>
      <c r="G20" t="n">
        <v>1</v>
      </c>
      <c r="H20" t="inlineStr">
        <is>
          <t>UNIT</t>
        </is>
      </c>
      <c r="I20" t="n">
        <v>8800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90</t>
        </is>
      </c>
      <c r="O20" t="inlineStr">
        <is>
          <t>18</t>
        </is>
      </c>
    </row>
    <row r="21">
      <c r="A21" t="inlineStr">
        <is>
          <t>Plumbing</t>
        </is>
      </c>
      <c r="B21" t="inlineStr">
        <is>
          <t>Bathroom 1</t>
        </is>
      </c>
      <c r="C21" t="inlineStr">
        <is>
          <t>Demolition</t>
        </is>
      </c>
      <c r="D21" t="inlineStr">
        <is>
          <t>bathroom plumbing|UNIT|demolition plumbing replacement for existing location including rough plumbing t</t>
        </is>
      </c>
      <c r="E21" t="inlineStr">
        <is>
          <t>bathroom plumbing</t>
        </is>
      </c>
      <c r="F21" t="inlineStr">
        <is>
          <t>demolition plumbing replacement for existing location including rough plumbing toilet installation sink installation shower tub installation supply lines drain lines and vent lines</t>
        </is>
      </c>
      <c r="G21" t="n">
        <v>1</v>
      </c>
      <c r="H21" t="inlineStr">
        <is>
          <t>UNIT</t>
        </is>
      </c>
      <c r="I21" t="n">
        <v>7700</v>
      </c>
      <c r="J21" t="inlineStr">
        <is>
          <t>0.75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95</t>
        </is>
      </c>
      <c r="O21" t="inlineStr">
        <is>
          <t>19</t>
        </is>
      </c>
    </row>
    <row r="22">
      <c r="A22" t="inlineStr">
        <is>
          <t>Plumbing</t>
        </is>
      </c>
      <c r="B22" t="inlineStr">
        <is>
          <t>Kitchen</t>
        </is>
      </c>
      <c r="C22" t="inlineStr">
        <is>
          <t>Demolition</t>
        </is>
      </c>
      <c r="D22" t="inlineStr">
        <is>
          <t>kitchen plumbing|UNIT|demolition plumbing for existing location with 1 sink including rough plumbing k</t>
        </is>
      </c>
      <c r="E22" t="inlineStr">
        <is>
          <t>kitchen plumbing</t>
        </is>
      </c>
      <c r="F22" t="inlineStr">
        <is>
          <t>demolition plumbing for existing location with 1 sink including rough plumbing kitchen sink installation garbage disposal water supply lines drain lines and shut off valves</t>
        </is>
      </c>
      <c r="G22" t="n">
        <v>1</v>
      </c>
      <c r="H22" t="inlineStr">
        <is>
          <t>UNIT</t>
        </is>
      </c>
      <c r="I22" t="n">
        <v>3850</v>
      </c>
      <c r="J22" t="inlineStr">
        <is>
          <t>0.75</t>
        </is>
      </c>
      <c r="K22" t="inlineStr"/>
      <c r="L22">
        <f>G22*I22</f>
        <v/>
      </c>
      <c r="M22">
        <f>IF(OR(K22="",K22="Special Formula"), L22/(1-J22), L22*(1+J22))</f>
        <v/>
      </c>
      <c r="N22" t="inlineStr">
        <is>
          <t>95</t>
        </is>
      </c>
      <c r="O22" t="inlineStr">
        <is>
          <t>20</t>
        </is>
      </c>
    </row>
    <row r="23">
      <c r="A23" t="inlineStr">
        <is>
          <t>Cabinetry &amp; Storage</t>
        </is>
      </c>
      <c r="B23" t="inlineStr">
        <is>
          <t>Kitchen</t>
        </is>
      </c>
      <c r="C23" t="inlineStr">
        <is>
          <t>Trim</t>
        </is>
      </c>
      <c r="D23" t="inlineStr">
        <is>
          <t>kitchen cabinets|UNIT|installation of standard kitchen cabinets up to 10 ft including base and wall ca</t>
        </is>
      </c>
      <c r="E23" t="inlineStr">
        <is>
          <t>kitchen cabinets</t>
        </is>
      </c>
      <c r="F23" t="inlineStr">
        <is>
          <t>installation of standard kitchen cabinets up to 10 ft including base and wall cabinets crown molding cabinet hardware soft close hinges and drawer slides</t>
        </is>
      </c>
      <c r="G23" t="n">
        <v>1</v>
      </c>
      <c r="H23" t="inlineStr">
        <is>
          <t>UNIT</t>
        </is>
      </c>
      <c r="I23" t="n">
        <v>7600</v>
      </c>
      <c r="J23" t="inlineStr">
        <is>
          <t>0.75</t>
        </is>
      </c>
      <c r="K23" t="inlineStr"/>
      <c r="L23">
        <f>G23*I23</f>
        <v/>
      </c>
      <c r="M23">
        <f>IF(OR(K23="",K23="Special Formula"), L23/(1-J23), L23*(1+J23))</f>
        <v/>
      </c>
      <c r="N23" t="inlineStr">
        <is>
          <t>95</t>
        </is>
      </c>
      <c r="O23" t="inlineStr">
        <is>
          <t>21</t>
        </is>
      </c>
    </row>
    <row r="24">
      <c r="A24" t="inlineStr">
        <is>
          <t>Countertops</t>
        </is>
      </c>
      <c r="B24" t="inlineStr">
        <is>
          <t>Kitchen</t>
        </is>
      </c>
      <c r="C24" t="inlineStr">
        <is>
          <t>Plumbing</t>
        </is>
      </c>
      <c r="D24" t="inlineStr">
        <is>
          <t>kitchen countertops|SF|fabrication and installation of quartz countertops including template creation e</t>
        </is>
      </c>
      <c r="E24" t="inlineStr">
        <is>
          <t>kitchen countertops</t>
        </is>
      </c>
      <c r="F24" t="inlineStr">
        <is>
          <t>fabrication and installation of quartz countertops including template creation edge treatments and sink cutouts</t>
        </is>
      </c>
      <c r="G24" t="n">
        <v>45</v>
      </c>
      <c r="H24" t="inlineStr">
        <is>
          <t>SF</t>
        </is>
      </c>
      <c r="I24" t="n">
        <v>97</v>
      </c>
      <c r="J24" t="inlineStr">
        <is>
          <t>0.75</t>
        </is>
      </c>
      <c r="K24" t="inlineStr"/>
      <c r="L24">
        <f>G24*I24</f>
        <v/>
      </c>
      <c r="M24">
        <f>IF(OR(K24="",K24="Special Formula"), L24/(1-J24), L24*(1+J24))</f>
        <v/>
      </c>
      <c r="N24" t="inlineStr">
        <is>
          <t>95</t>
        </is>
      </c>
      <c r="O24" t="inlineStr">
        <is>
          <t>22</t>
        </is>
      </c>
    </row>
    <row r="25">
      <c r="A25" t="inlineStr">
        <is>
          <t>Backsplash</t>
        </is>
      </c>
      <c r="B25" t="inlineStr">
        <is>
          <t>Kitchen</t>
        </is>
      </c>
      <c r="C25" t="inlineStr">
        <is>
          <t>Backsplash</t>
        </is>
      </c>
      <c r="D25" t="inlineStr">
        <is>
          <t>kitchen backsplash||tile preparation installation grout installation tile sealing and trim tiles for</t>
        </is>
      </c>
      <c r="E25" t="inlineStr">
        <is>
          <t>kitchen backsplash</t>
        </is>
      </c>
      <c r="F25" t="inlineStr">
        <is>
          <t>tile preparation installation grout installation tile sealing and trim tiles for kitchen backsplash</t>
        </is>
      </c>
      <c r="G25" t="n">
        <v>0</v>
      </c>
      <c r="H25" t="inlineStr"/>
      <c r="I25" t="n">
        <v>2200</v>
      </c>
      <c r="J25" t="inlineStr">
        <is>
          <t>0.80</t>
        </is>
      </c>
      <c r="K25" t="inlineStr"/>
      <c r="L25">
        <f>G25*I25</f>
        <v/>
      </c>
      <c r="M25">
        <f>IF(OR(K25="",K25="Special Formula"), L25/(1-J25), L25*(1+J25))</f>
        <v/>
      </c>
      <c r="N25" t="inlineStr">
        <is>
          <t>95</t>
        </is>
      </c>
      <c r="O25" t="inlineStr">
        <is>
          <t>23</t>
        </is>
      </c>
    </row>
    <row r="26">
      <c r="A26" t="inlineStr">
        <is>
          <t>Painting &amp; Wall Coverings</t>
        </is>
      </c>
      <c r="B26" t="inlineStr">
        <is>
          <t>Bedroom 1</t>
        </is>
      </c>
      <c r="C26" t="inlineStr">
        <is>
          <t>Painting</t>
        </is>
      </c>
      <c r="D26" t="inlineStr">
        <is>
          <t>bedroom painting|SF|wall preparation primer application paint walls paint ceiling and closet paintin</t>
        </is>
      </c>
      <c r="E26" t="inlineStr">
        <is>
          <t>bedroom painting</t>
        </is>
      </c>
      <c r="F26" t="inlineStr">
        <is>
          <t>wall preparation primer application paint walls paint ceiling and closet painting</t>
        </is>
      </c>
      <c r="G26" t="n">
        <v>432</v>
      </c>
      <c r="H26" t="inlineStr">
        <is>
          <t>SF</t>
        </is>
      </c>
      <c r="I26" t="n">
        <v>10.3</v>
      </c>
      <c r="J26" t="inlineStr">
        <is>
          <t>0.75</t>
        </is>
      </c>
      <c r="K26" t="inlineStr"/>
      <c r="L26">
        <f>G26*I26</f>
        <v/>
      </c>
      <c r="M26">
        <f>IF(OR(K26="",K26="Special Formula"), L26/(1-J26), L26*(1+J26))</f>
        <v/>
      </c>
      <c r="N26" t="inlineStr">
        <is>
          <t>95</t>
        </is>
      </c>
      <c r="O26" t="inlineStr">
        <is>
          <t>24</t>
        </is>
      </c>
    </row>
    <row r="27">
      <c r="A27" t="inlineStr">
        <is>
          <t>Painting &amp; Wall Coverings</t>
        </is>
      </c>
      <c r="B27" t="inlineStr">
        <is>
          <t>Living Room</t>
        </is>
      </c>
      <c r="C27" t="inlineStr">
        <is>
          <t>Painting</t>
        </is>
      </c>
      <c r="D27" t="inlineStr">
        <is>
          <t>living room painting|SF|wall preparation primer application paint walls paint ceiling and touch up work</t>
        </is>
      </c>
      <c r="E27" t="inlineStr">
        <is>
          <t>living room painting</t>
        </is>
      </c>
      <c r="F27" t="inlineStr">
        <is>
          <t>wall preparation primer application paint walls paint ceiling and touch up work</t>
        </is>
      </c>
      <c r="G27" t="n">
        <v>400</v>
      </c>
      <c r="H27" t="inlineStr">
        <is>
          <t>SF</t>
        </is>
      </c>
      <c r="I27" t="n">
        <v>10.3</v>
      </c>
      <c r="J27" t="inlineStr">
        <is>
          <t>0.75</t>
        </is>
      </c>
      <c r="K27" t="inlineStr"/>
      <c r="L27">
        <f>G27*I27</f>
        <v/>
      </c>
      <c r="M27">
        <f>IF(OR(K27="",K27="Special Formula"), L27/(1-J27), L27*(1+J27))</f>
        <v/>
      </c>
      <c r="N27" t="inlineStr">
        <is>
          <t>95</t>
        </is>
      </c>
      <c r="O27" t="inlineStr">
        <is>
          <t>25</t>
        </is>
      </c>
    </row>
    <row r="28">
      <c r="A28" t="inlineStr">
        <is>
          <t>Trims</t>
        </is>
      </c>
      <c r="B28" t="inlineStr">
        <is>
          <t>Bedroom 1</t>
        </is>
      </c>
      <c r="C28" t="inlineStr">
        <is>
          <t>Trim</t>
        </is>
      </c>
      <c r="D28" t="inlineStr">
        <is>
          <t>bedroom trim|LF|baseboard installation window casings door casings and closet trim</t>
        </is>
      </c>
      <c r="E28" t="inlineStr">
        <is>
          <t>bedroom trim</t>
        </is>
      </c>
      <c r="F28" t="inlineStr">
        <is>
          <t>baseboard installation window casings door casings and closet trim</t>
        </is>
      </c>
      <c r="G28" t="n">
        <v>100</v>
      </c>
      <c r="H28" t="inlineStr">
        <is>
          <t>LF</t>
        </is>
      </c>
      <c r="I28" t="n">
        <v>5</v>
      </c>
      <c r="J28" t="inlineStr">
        <is>
          <t>0.75</t>
        </is>
      </c>
      <c r="K28" t="inlineStr"/>
      <c r="L28">
        <f>G28*I28</f>
        <v/>
      </c>
      <c r="M28">
        <f>IF(OR(K28="",K28="Special Formula"), L28/(1-J28), L28*(1+J28))</f>
        <v/>
      </c>
      <c r="N28" t="inlineStr">
        <is>
          <t>95</t>
        </is>
      </c>
      <c r="O28" t="inlineStr">
        <is>
          <t>26</t>
        </is>
      </c>
    </row>
    <row r="29">
      <c r="A29" t="inlineStr">
        <is>
          <t>Trims</t>
        </is>
      </c>
      <c r="B29" t="inlineStr">
        <is>
          <t>Living Room</t>
        </is>
      </c>
      <c r="C29" t="inlineStr">
        <is>
          <t>Trim</t>
        </is>
      </c>
      <c r="D29" t="inlineStr">
        <is>
          <t>living room trim|LF|baseboard installation crown molding window casings door casings and quarter rou</t>
        </is>
      </c>
      <c r="E29" t="inlineStr">
        <is>
          <t>living room trim</t>
        </is>
      </c>
      <c r="F29" t="inlineStr">
        <is>
          <t>baseboard installation crown molding window casings door casings and quarter round</t>
        </is>
      </c>
      <c r="G29" t="n">
        <v>100</v>
      </c>
      <c r="H29" t="inlineStr">
        <is>
          <t>LF</t>
        </is>
      </c>
      <c r="I29" t="n">
        <v>5</v>
      </c>
      <c r="J29" t="inlineStr">
        <is>
          <t>0.75</t>
        </is>
      </c>
      <c r="K29" t="inlineStr"/>
      <c r="L29">
        <f>G29*I29</f>
        <v/>
      </c>
      <c r="M29">
        <f>IF(OR(K29="",K29="Special Formula"), L29/(1-J29), L29*(1+J29))</f>
        <v/>
      </c>
      <c r="N29" t="inlineStr">
        <is>
          <t>95</t>
        </is>
      </c>
      <c r="O29" t="inlineStr">
        <is>
          <t>27</t>
        </is>
      </c>
    </row>
    <row r="30">
      <c r="A30" t="inlineStr">
        <is>
          <t>General Requirements</t>
        </is>
      </c>
      <c r="B30" t="inlineStr">
        <is>
          <t>Entire House</t>
        </is>
      </c>
      <c r="C30" t="inlineStr">
        <is>
          <t>Cleaning</t>
        </is>
      </c>
      <c r="D30" t="inlineStr">
        <is>
          <t>commercial cleaning|UNIT|post construction cleaning for the entire house</t>
        </is>
      </c>
      <c r="E30" t="inlineStr">
        <is>
          <t>commercial cleaning</t>
        </is>
      </c>
      <c r="F30" t="inlineStr">
        <is>
          <t>post construction cleaning for the entire house</t>
        </is>
      </c>
      <c r="G30" t="n">
        <v>1</v>
      </c>
      <c r="H30" t="inlineStr">
        <is>
          <t>UNIT</t>
        </is>
      </c>
      <c r="I30" t="n">
        <v>2750</v>
      </c>
      <c r="J30" t="inlineStr">
        <is>
          <t>0.75</t>
        </is>
      </c>
      <c r="K30" t="inlineStr"/>
      <c r="L30">
        <f>G30*I30</f>
        <v/>
      </c>
      <c r="M30">
        <f>IF(OR(K30="",K30="Special Formula"), L30/(1-J30), L30*(1+J30))</f>
        <v/>
      </c>
      <c r="N30" t="inlineStr">
        <is>
          <t>95</t>
        </is>
      </c>
      <c r="O30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Flooring</t>
        </is>
      </c>
      <c r="D2" t="n">
        <v>2000</v>
      </c>
      <c r="E2" t="n">
        <v>8000</v>
      </c>
    </row>
    <row r="3">
      <c r="A3" t="inlineStr">
        <is>
          <t>Attic Renovation</t>
        </is>
      </c>
      <c r="B3" t="inlineStr">
        <is>
          <t>Attic</t>
        </is>
      </c>
      <c r="C3" t="inlineStr">
        <is>
          <t>Other</t>
        </is>
      </c>
      <c r="D3" t="n">
        <v>3500</v>
      </c>
      <c r="E3" t="n">
        <v>14000</v>
      </c>
    </row>
    <row r="4">
      <c r="A4" t="inlineStr">
        <is>
          <t>Backsplash</t>
        </is>
      </c>
      <c r="B4" t="inlineStr">
        <is>
          <t>Kitchen</t>
        </is>
      </c>
      <c r="C4" t="inlineStr">
        <is>
          <t>Backsplash</t>
        </is>
      </c>
      <c r="D4" t="n">
        <v>0</v>
      </c>
      <c r="E4" t="n">
        <v>0</v>
      </c>
    </row>
    <row r="5">
      <c r="A5" t="inlineStr">
        <is>
          <t>Basement Renovation</t>
        </is>
      </c>
      <c r="B5" t="inlineStr">
        <is>
          <t>Basement</t>
        </is>
      </c>
      <c r="C5" t="inlineStr">
        <is>
          <t>Other</t>
        </is>
      </c>
      <c r="D5" t="n">
        <v>4500</v>
      </c>
      <c r="E5" t="n">
        <v>18000</v>
      </c>
    </row>
    <row r="6">
      <c r="A6" t="inlineStr">
        <is>
          <t>Cabinetry &amp; Storage</t>
        </is>
      </c>
      <c r="B6" t="inlineStr">
        <is>
          <t>Kitchen</t>
        </is>
      </c>
      <c r="C6" t="inlineStr">
        <is>
          <t>Trim</t>
        </is>
      </c>
      <c r="D6" t="n">
        <v>7600</v>
      </c>
      <c r="E6" t="n">
        <v>30400</v>
      </c>
    </row>
    <row r="7">
      <c r="A7" t="inlineStr">
        <is>
          <t>Countertops</t>
        </is>
      </c>
      <c r="B7" t="inlineStr">
        <is>
          <t>Kitchen</t>
        </is>
      </c>
      <c r="C7" t="inlineStr">
        <is>
          <t>Plumbing</t>
        </is>
      </c>
      <c r="D7" t="n">
        <v>4365</v>
      </c>
      <c r="E7" t="n">
        <v>17460</v>
      </c>
    </row>
    <row r="8">
      <c r="A8" t="inlineStr">
        <is>
          <t>Demolition</t>
        </is>
      </c>
      <c r="B8" t="inlineStr">
        <is>
          <t>Bathroom 1</t>
        </is>
      </c>
      <c r="C8" t="inlineStr">
        <is>
          <t>Demolition</t>
        </is>
      </c>
      <c r="D8" t="n">
        <v>2200</v>
      </c>
      <c r="E8" t="n">
        <v>8800</v>
      </c>
    </row>
    <row r="9">
      <c r="A9" t="inlineStr">
        <is>
          <t>Demolition</t>
        </is>
      </c>
      <c r="B9" t="inlineStr">
        <is>
          <t>Bedroom 1</t>
        </is>
      </c>
      <c r="C9" t="inlineStr">
        <is>
          <t>Demolition</t>
        </is>
      </c>
      <c r="D9" t="n">
        <v>2322</v>
      </c>
      <c r="E9" t="n">
        <v>9288</v>
      </c>
    </row>
    <row r="10">
      <c r="A10" t="inlineStr">
        <is>
          <t>Demolition</t>
        </is>
      </c>
      <c r="B10" t="inlineStr">
        <is>
          <t>Kitchen</t>
        </is>
      </c>
      <c r="C10" t="inlineStr">
        <is>
          <t>Demolition</t>
        </is>
      </c>
      <c r="D10" t="n">
        <v>3300</v>
      </c>
      <c r="E10" t="n">
        <v>13200</v>
      </c>
    </row>
    <row r="11">
      <c r="A11" t="inlineStr">
        <is>
          <t>Demolition</t>
        </is>
      </c>
      <c r="B11" t="inlineStr">
        <is>
          <t>Living Room</t>
        </is>
      </c>
      <c r="C11" t="inlineStr">
        <is>
          <t>Demolition</t>
        </is>
      </c>
      <c r="D11" t="n">
        <v>1200</v>
      </c>
      <c r="E11" t="n">
        <v>4800</v>
      </c>
    </row>
    <row r="12">
      <c r="A12" t="inlineStr">
        <is>
          <t>Demolition</t>
        </is>
      </c>
      <c r="B12" t="inlineStr">
        <is>
          <t>Primary Bathroom</t>
        </is>
      </c>
      <c r="C12" t="inlineStr">
        <is>
          <t>Demolition</t>
        </is>
      </c>
      <c r="D12" t="n">
        <v>9900</v>
      </c>
      <c r="E12" t="n">
        <v>39600</v>
      </c>
    </row>
    <row r="13">
      <c r="A13" t="inlineStr">
        <is>
          <t>Demolition</t>
        </is>
      </c>
      <c r="B13" t="inlineStr">
        <is>
          <t>Secondary Bathroom</t>
        </is>
      </c>
      <c r="C13" t="inlineStr">
        <is>
          <t>Demolition</t>
        </is>
      </c>
      <c r="D13" t="n">
        <v>8800</v>
      </c>
      <c r="E13" t="n">
        <v>35200</v>
      </c>
    </row>
    <row r="14">
      <c r="A14" t="inlineStr">
        <is>
          <t>Doors</t>
        </is>
      </c>
      <c r="B14" t="inlineStr">
        <is>
          <t>Attic</t>
        </is>
      </c>
      <c r="C14" t="inlineStr">
        <is>
          <t>Other</t>
        </is>
      </c>
      <c r="D14" t="n">
        <v>1320</v>
      </c>
      <c r="E14" t="n">
        <v>5280</v>
      </c>
    </row>
    <row r="15">
      <c r="A15" t="inlineStr">
        <is>
          <t>Doors</t>
        </is>
      </c>
      <c r="B15" t="inlineStr">
        <is>
          <t>First Floor</t>
        </is>
      </c>
      <c r="C15" t="inlineStr">
        <is>
          <t>Other</t>
        </is>
      </c>
      <c r="D15" t="n">
        <v>1500</v>
      </c>
      <c r="E15" t="n">
        <v>6000</v>
      </c>
    </row>
    <row r="16">
      <c r="A16" t="inlineStr">
        <is>
          <t>Electrical</t>
        </is>
      </c>
      <c r="B16" t="inlineStr">
        <is>
          <t>Whole House</t>
        </is>
      </c>
      <c r="C16" t="inlineStr">
        <is>
          <t>Electrical</t>
        </is>
      </c>
      <c r="D16" t="n">
        <v>34782</v>
      </c>
      <c r="E16" t="n">
        <v>139128</v>
      </c>
    </row>
    <row r="17">
      <c r="A17" t="inlineStr">
        <is>
          <t>Flooring</t>
        </is>
      </c>
      <c r="B17" t="inlineStr">
        <is>
          <t>First Floor</t>
        </is>
      </c>
      <c r="C17" t="inlineStr">
        <is>
          <t>Flooring</t>
        </is>
      </c>
      <c r="D17" t="n">
        <v>6000</v>
      </c>
      <c r="E17" t="n">
        <v>24000</v>
      </c>
    </row>
    <row r="18">
      <c r="A18" t="inlineStr">
        <is>
          <t>Flooring</t>
        </is>
      </c>
      <c r="B18" t="inlineStr">
        <is>
          <t>Second Floor</t>
        </is>
      </c>
      <c r="C18" t="inlineStr">
        <is>
          <t>Flooring</t>
        </is>
      </c>
      <c r="D18" t="n">
        <v>6000</v>
      </c>
      <c r="E18" t="n">
        <v>24000</v>
      </c>
    </row>
    <row r="19">
      <c r="A19" t="inlineStr">
        <is>
          <t>General Requirements</t>
        </is>
      </c>
      <c r="B19" t="inlineStr">
        <is>
          <t>Entire House</t>
        </is>
      </c>
      <c r="C19" t="inlineStr">
        <is>
          <t>Cleaning</t>
        </is>
      </c>
      <c r="D19" t="n">
        <v>2750</v>
      </c>
      <c r="E19" t="n">
        <v>11000</v>
      </c>
    </row>
    <row r="20">
      <c r="A20" t="inlineStr">
        <is>
          <t>Heating and Cooling</t>
        </is>
      </c>
      <c r="B20" t="inlineStr">
        <is>
          <t>Whole House</t>
        </is>
      </c>
      <c r="C20" t="inlineStr">
        <is>
          <t>Flooring</t>
        </is>
      </c>
      <c r="D20" t="n">
        <v>16500</v>
      </c>
      <c r="E20" t="n">
        <v>41250</v>
      </c>
    </row>
    <row r="21">
      <c r="A21" t="inlineStr">
        <is>
          <t>Painting &amp; Wall Coverings</t>
        </is>
      </c>
      <c r="B21" t="inlineStr">
        <is>
          <t>Bedroom 1</t>
        </is>
      </c>
      <c r="C21" t="inlineStr">
        <is>
          <t>Painting</t>
        </is>
      </c>
      <c r="D21" t="n">
        <v>4449.6</v>
      </c>
      <c r="E21" t="n">
        <v>17798.4</v>
      </c>
    </row>
    <row r="22">
      <c r="A22" t="inlineStr">
        <is>
          <t>Painting &amp; Wall Coverings</t>
        </is>
      </c>
      <c r="B22" t="inlineStr">
        <is>
          <t>Living Room</t>
        </is>
      </c>
      <c r="C22" t="inlineStr">
        <is>
          <t>Painting</t>
        </is>
      </c>
      <c r="D22" t="n">
        <v>4120</v>
      </c>
      <c r="E22" t="n">
        <v>16480</v>
      </c>
    </row>
    <row r="23">
      <c r="A23" t="inlineStr">
        <is>
          <t>Plumbing</t>
        </is>
      </c>
      <c r="B23" t="inlineStr">
        <is>
          <t>Bathroom 1</t>
        </is>
      </c>
      <c r="C23" t="inlineStr">
        <is>
          <t>Demolition</t>
        </is>
      </c>
      <c r="D23" t="n">
        <v>7700</v>
      </c>
      <c r="E23" t="n">
        <v>30800</v>
      </c>
    </row>
    <row r="24">
      <c r="A24" t="inlineStr">
        <is>
          <t>Plumbing</t>
        </is>
      </c>
      <c r="B24" t="inlineStr">
        <is>
          <t>Kitchen</t>
        </is>
      </c>
      <c r="C24" t="inlineStr">
        <is>
          <t>Demolition</t>
        </is>
      </c>
      <c r="D24" t="n">
        <v>3850</v>
      </c>
      <c r="E24" t="n">
        <v>15400</v>
      </c>
    </row>
    <row r="25">
      <c r="A25" t="inlineStr">
        <is>
          <t>Tile</t>
        </is>
      </c>
      <c r="B25" t="inlineStr">
        <is>
          <t>Basement</t>
        </is>
      </c>
      <c r="C25" t="inlineStr">
        <is>
          <t>Tile Work</t>
        </is>
      </c>
      <c r="D25" t="n">
        <v>3000</v>
      </c>
      <c r="E25" t="n">
        <v>15000</v>
      </c>
    </row>
    <row r="26">
      <c r="A26" t="inlineStr">
        <is>
          <t>Tile</t>
        </is>
      </c>
      <c r="B26" t="inlineStr">
        <is>
          <t>Bathroom 1</t>
        </is>
      </c>
      <c r="C26" t="inlineStr">
        <is>
          <t>Plumbing</t>
        </is>
      </c>
      <c r="D26" t="n">
        <v>328000</v>
      </c>
      <c r="E26" t="n">
        <v>1640000</v>
      </c>
    </row>
    <row r="27">
      <c r="A27" t="inlineStr">
        <is>
          <t>Trims</t>
        </is>
      </c>
      <c r="B27" t="inlineStr">
        <is>
          <t>Bedroom 1</t>
        </is>
      </c>
      <c r="C27" t="inlineStr">
        <is>
          <t>Trim</t>
        </is>
      </c>
      <c r="D27" t="n">
        <v>500</v>
      </c>
      <c r="E27" t="n">
        <v>2000</v>
      </c>
    </row>
    <row r="28">
      <c r="A28" t="inlineStr">
        <is>
          <t>Trims</t>
        </is>
      </c>
      <c r="B28" t="inlineStr">
        <is>
          <t>Living Room</t>
        </is>
      </c>
      <c r="C28" t="inlineStr">
        <is>
          <t>Trim</t>
        </is>
      </c>
      <c r="D28" t="n">
        <v>500</v>
      </c>
      <c r="E28" t="n">
        <v>2000</v>
      </c>
    </row>
    <row r="29">
      <c r="A29" t="inlineStr">
        <is>
          <t>Walls &amp; Ceiling</t>
        </is>
      </c>
      <c r="B29" t="inlineStr">
        <is>
          <t>Whole House</t>
        </is>
      </c>
      <c r="C29" t="inlineStr">
        <is>
          <t>Painting</t>
        </is>
      </c>
      <c r="D29" t="n">
        <v>30900</v>
      </c>
      <c r="E29" t="n">
        <v>103000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5500</v>
      </c>
      <c r="C2" t="n">
        <v>22000</v>
      </c>
    </row>
    <row r="3">
      <c r="A3" t="inlineStr">
        <is>
          <t>Backsplash</t>
        </is>
      </c>
      <c r="B3" t="n">
        <v>0</v>
      </c>
      <c r="C3" t="n">
        <v>0</v>
      </c>
    </row>
    <row r="4">
      <c r="A4" t="inlineStr">
        <is>
          <t>Basement Renovation</t>
        </is>
      </c>
      <c r="B4" t="n">
        <v>4500</v>
      </c>
      <c r="C4" t="n">
        <v>18000</v>
      </c>
    </row>
    <row r="5">
      <c r="A5" t="inlineStr">
        <is>
          <t>Cabinetry &amp; Storage</t>
        </is>
      </c>
      <c r="B5" t="n">
        <v>7600</v>
      </c>
      <c r="C5" t="n">
        <v>30400</v>
      </c>
    </row>
    <row r="6">
      <c r="A6" t="inlineStr">
        <is>
          <t>Countertops</t>
        </is>
      </c>
      <c r="B6" t="n">
        <v>4365</v>
      </c>
      <c r="C6" t="n">
        <v>17460</v>
      </c>
    </row>
    <row r="7">
      <c r="A7" t="inlineStr">
        <is>
          <t>Demolition</t>
        </is>
      </c>
      <c r="B7" t="n">
        <v>27722</v>
      </c>
      <c r="C7" t="n">
        <v>110888</v>
      </c>
    </row>
    <row r="8">
      <c r="A8" t="inlineStr">
        <is>
          <t>Doors</t>
        </is>
      </c>
      <c r="B8" t="n">
        <v>2820</v>
      </c>
      <c r="C8" t="n">
        <v>11280</v>
      </c>
    </row>
    <row r="9">
      <c r="A9" t="inlineStr">
        <is>
          <t>Electrical</t>
        </is>
      </c>
      <c r="B9" t="n">
        <v>34782</v>
      </c>
      <c r="C9" t="n">
        <v>139128</v>
      </c>
    </row>
    <row r="10">
      <c r="A10" t="inlineStr">
        <is>
          <t>Flooring</t>
        </is>
      </c>
      <c r="B10" t="n">
        <v>12000</v>
      </c>
      <c r="C10" t="n">
        <v>48000</v>
      </c>
    </row>
    <row r="11">
      <c r="A11" t="inlineStr">
        <is>
          <t>General Requirements</t>
        </is>
      </c>
      <c r="B11" t="n">
        <v>2750</v>
      </c>
      <c r="C11" t="n">
        <v>11000</v>
      </c>
    </row>
    <row r="12">
      <c r="A12" t="inlineStr">
        <is>
          <t>Heating and Cooling</t>
        </is>
      </c>
      <c r="B12" t="n">
        <v>16500</v>
      </c>
      <c r="C12" t="n">
        <v>41250</v>
      </c>
    </row>
    <row r="13">
      <c r="A13" t="inlineStr">
        <is>
          <t>Painting &amp; Wall Coverings</t>
        </is>
      </c>
      <c r="B13" t="n">
        <v>8569.6</v>
      </c>
      <c r="C13" t="n">
        <v>34278.4</v>
      </c>
    </row>
    <row r="14">
      <c r="A14" t="inlineStr">
        <is>
          <t>Plumbing</t>
        </is>
      </c>
      <c r="B14" t="n">
        <v>11550</v>
      </c>
      <c r="C14" t="n">
        <v>46200</v>
      </c>
    </row>
    <row r="15">
      <c r="A15" t="inlineStr">
        <is>
          <t>Tile</t>
        </is>
      </c>
      <c r="B15" t="n">
        <v>331000</v>
      </c>
      <c r="C15" t="n">
        <v>1655000</v>
      </c>
    </row>
    <row r="16">
      <c r="A16" t="inlineStr">
        <is>
          <t>Trims</t>
        </is>
      </c>
      <c r="B16" t="n">
        <v>1000</v>
      </c>
      <c r="C16" t="n">
        <v>4000</v>
      </c>
    </row>
    <row r="17">
      <c r="A17" t="inlineStr">
        <is>
          <t>Walls &amp; Ceiling</t>
        </is>
      </c>
      <c r="B17" t="n">
        <v>30900</v>
      </c>
      <c r="C17" t="n">
        <v>103000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2025-09-25T18:57:28Z</dcterms:created>
  <dcterms:modified xmlns:dcterms="http://purl.org/dc/terms/" xmlns:xsi="http://www.w3.org/2001/XMLSchema-instance" xsi:type="dcterms:W3CDTF">2025-09-25T18:57:28Z</dcterms:modified>
</cp:coreProperties>
</file>