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Line Items" sheetId="1" state="visible" r:id="rId1"/>
    <sheet xmlns:r="http://schemas.openxmlformats.org/officeDocument/2006/relationships" name="Section Subtotals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Exceptions &amp; 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2" customWidth="1" min="4" max="4"/>
    <col width="28" customWidth="1" min="5" max="5"/>
    <col width="60" customWidth="1" min="6" max="6"/>
    <col width="14" customWidth="1" min="7" max="7"/>
    <col width="14" customWidth="1" min="9" max="9"/>
    <col width="14" customWidth="1" min="10" max="10"/>
    <col width="14" customWidth="1" min="12" max="12"/>
    <col width="14" customWidth="1" min="13" max="13"/>
  </cols>
  <sheetData>
    <row r="1">
      <c r="A1" t="inlineStr">
        <is>
          <t>Category</t>
        </is>
      </c>
      <c r="B1" t="inlineStr">
        <is>
          <t>Room</t>
        </is>
      </c>
      <c r="C1" t="inlineStr">
        <is>
          <t>Section</t>
        </is>
      </c>
      <c r="D1" t="inlineStr">
        <is>
          <t>ScopeKey</t>
        </is>
      </c>
      <c r="E1" t="inlineStr">
        <is>
          <t>ItemName_Canonical</t>
        </is>
      </c>
      <c r="F1" t="inlineStr">
        <is>
          <t>Description_Canonical</t>
        </is>
      </c>
      <c r="G1" t="inlineStr">
        <is>
          <t>Qty</t>
        </is>
      </c>
      <c r="H1" t="inlineStr">
        <is>
          <t>Unit</t>
        </is>
      </c>
      <c r="I1" t="inlineStr">
        <is>
          <t>UnitCost_Parsed</t>
        </is>
      </c>
      <c r="J1" t="inlineStr">
        <is>
          <t>Markup</t>
        </is>
      </c>
      <c r="K1" t="inlineStr">
        <is>
          <t>MarkupType</t>
        </is>
      </c>
      <c r="L1" t="inlineStr">
        <is>
          <t>Subtotal (Qty*UnitCost)</t>
        </is>
      </c>
      <c r="M1" t="inlineStr">
        <is>
          <t>MarkedUpTotal</t>
        </is>
      </c>
      <c r="N1" t="inlineStr">
        <is>
          <t>Confidence</t>
        </is>
      </c>
      <c r="O1" t="inlineStr">
        <is>
          <t>SourceRows</t>
        </is>
      </c>
    </row>
    <row r="2">
      <c r="A2" t="inlineStr">
        <is>
          <t>Basement Renovation</t>
        </is>
      </c>
      <c r="B2" t="inlineStr">
        <is>
          <t>Basement</t>
        </is>
      </c>
      <c r="C2" t="inlineStr">
        <is>
          <t>Other</t>
        </is>
      </c>
      <c r="D2" t="inlineStr">
        <is>
          <t>mini wine cellar construction|UNIT|construct mini wine cellar with climate control</t>
        </is>
      </c>
      <c r="E2" t="inlineStr">
        <is>
          <t>mini wine cellar construction</t>
        </is>
      </c>
      <c r="F2" t="inlineStr">
        <is>
          <t>construct mini wine cellar with climate control</t>
        </is>
      </c>
      <c r="G2" t="n">
        <v>1</v>
      </c>
      <c r="H2" t="inlineStr">
        <is>
          <t>UNIT</t>
        </is>
      </c>
      <c r="I2" t="n">
        <v>10000</v>
      </c>
      <c r="J2" t="inlineStr">
        <is>
          <t>0.75</t>
        </is>
      </c>
      <c r="K2" t="inlineStr"/>
      <c r="L2">
        <f>G2*I2</f>
        <v/>
      </c>
      <c r="M2">
        <f>IF(OR(K2="",K2="Special Formula"), L2/(1-J2), L2*(1+J2))</f>
        <v/>
      </c>
      <c r="N2" t="inlineStr">
        <is>
          <t>80</t>
        </is>
      </c>
      <c r="O2" t="inlineStr">
        <is>
          <t>0</t>
        </is>
      </c>
    </row>
    <row r="3">
      <c r="A3" t="inlineStr">
        <is>
          <t>Basement Renovation</t>
        </is>
      </c>
      <c r="B3" t="inlineStr">
        <is>
          <t>Basement</t>
        </is>
      </c>
      <c r="C3" t="inlineStr">
        <is>
          <t>Other</t>
        </is>
      </c>
      <c r="D3" t="inlineStr">
        <is>
          <t>theater room construction|UNIT|transform unfinished basement into a theater room</t>
        </is>
      </c>
      <c r="E3" t="inlineStr">
        <is>
          <t>theater room construction</t>
        </is>
      </c>
      <c r="F3" t="inlineStr">
        <is>
          <t>transform unfinished basement into a theater room</t>
        </is>
      </c>
      <c r="G3" t="n">
        <v>1</v>
      </c>
      <c r="H3" t="inlineStr">
        <is>
          <t>UNIT</t>
        </is>
      </c>
      <c r="I3" t="n">
        <v>20000</v>
      </c>
      <c r="J3" t="inlineStr">
        <is>
          <t>0.75</t>
        </is>
      </c>
      <c r="K3" t="inlineStr"/>
      <c r="L3">
        <f>G3*I3</f>
        <v/>
      </c>
      <c r="M3">
        <f>IF(OR(K3="",K3="Special Formula"), L3/(1-J3), L3*(1+J3))</f>
        <v/>
      </c>
      <c r="N3" t="inlineStr">
        <is>
          <t>80</t>
        </is>
      </c>
      <c r="O3" t="inlineStr">
        <is>
          <t>1</t>
        </is>
      </c>
    </row>
    <row r="4">
      <c r="A4" t="inlineStr">
        <is>
          <t>Electrical</t>
        </is>
      </c>
      <c r="B4" t="inlineStr">
        <is>
          <t>Basement</t>
        </is>
      </c>
      <c r="C4" t="inlineStr">
        <is>
          <t>Electrical</t>
        </is>
      </c>
      <c r="D4" t="inlineStr">
        <is>
          <t>basement finishing|SF|finishing of basement space including flooring walls and electrical</t>
        </is>
      </c>
      <c r="E4" t="inlineStr">
        <is>
          <t>basement finishing</t>
        </is>
      </c>
      <c r="F4" t="inlineStr">
        <is>
          <t>finishing of basement space including flooring walls and electrical</t>
        </is>
      </c>
      <c r="G4" t="n">
        <v>427</v>
      </c>
      <c r="H4" t="inlineStr">
        <is>
          <t>SF</t>
        </is>
      </c>
      <c r="I4" t="n">
        <v>11</v>
      </c>
      <c r="J4" t="inlineStr">
        <is>
          <t>0.75</t>
        </is>
      </c>
      <c r="K4" t="inlineStr"/>
      <c r="L4">
        <f>G4*I4</f>
        <v/>
      </c>
      <c r="M4">
        <f>IF(OR(K4="",K4="Special Formula"), L4/(1-J4), L4*(1+J4))</f>
        <v/>
      </c>
      <c r="N4" t="inlineStr">
        <is>
          <t>85</t>
        </is>
      </c>
      <c r="O4" t="inlineStr">
        <is>
          <t>2</t>
        </is>
      </c>
    </row>
    <row r="5">
      <c r="A5" t="inlineStr">
        <is>
          <t>Electrical</t>
        </is>
      </c>
      <c r="B5" t="inlineStr">
        <is>
          <t>Master Bathroom</t>
        </is>
      </c>
      <c r="C5" t="inlineStr">
        <is>
          <t>Electrical</t>
        </is>
      </c>
      <c r="D5" t="inlineStr">
        <is>
          <t>bathroom electrical|UNIT|installation of bathroom electrical systems including lighting and outlets</t>
        </is>
      </c>
      <c r="E5" t="inlineStr">
        <is>
          <t>bathroom electrical</t>
        </is>
      </c>
      <c r="F5" t="inlineStr">
        <is>
          <t>installation of bathroom electrical systems including lighting and outlets</t>
        </is>
      </c>
      <c r="G5" t="n">
        <v>1</v>
      </c>
      <c r="H5" t="inlineStr">
        <is>
          <t>UNIT</t>
        </is>
      </c>
      <c r="I5" t="n">
        <v>3500</v>
      </c>
      <c r="J5" t="inlineStr">
        <is>
          <t>0.75</t>
        </is>
      </c>
      <c r="K5" t="inlineStr"/>
      <c r="L5">
        <f>G5*I5</f>
        <v/>
      </c>
      <c r="M5">
        <f>IF(OR(K5="",K5="Special Formula"), L5/(1-J5), L5*(1+J5))</f>
        <v/>
      </c>
      <c r="N5" t="inlineStr">
        <is>
          <t>90</t>
        </is>
      </c>
      <c r="O5" t="inlineStr">
        <is>
          <t>3</t>
        </is>
      </c>
    </row>
    <row r="6">
      <c r="A6" t="inlineStr">
        <is>
          <t>Electrical</t>
        </is>
      </c>
      <c r="B6" t="inlineStr">
        <is>
          <t>Kitchen</t>
        </is>
      </c>
      <c r="C6" t="inlineStr">
        <is>
          <t>Electrical</t>
        </is>
      </c>
      <c r="D6" t="inlineStr">
        <is>
          <t>kitchen electrical|UNIT|installation of kitchen electrical systems including outlets lighting and applia</t>
        </is>
      </c>
      <c r="E6" t="inlineStr">
        <is>
          <t>kitchen electrical</t>
        </is>
      </c>
      <c r="F6" t="inlineStr">
        <is>
          <t>installation of kitchen electrical systems including outlets lighting and appliances</t>
        </is>
      </c>
      <c r="G6" t="n">
        <v>1</v>
      </c>
      <c r="H6" t="inlineStr">
        <is>
          <t>UNIT</t>
        </is>
      </c>
      <c r="I6" t="n">
        <v>3500</v>
      </c>
      <c r="J6" t="inlineStr">
        <is>
          <t>0.75</t>
        </is>
      </c>
      <c r="K6" t="inlineStr"/>
      <c r="L6">
        <f>G6*I6</f>
        <v/>
      </c>
      <c r="M6">
        <f>IF(OR(K6="",K6="Special Formula"), L6/(1-J6), L6*(1+J6))</f>
        <v/>
      </c>
      <c r="N6" t="inlineStr">
        <is>
          <t>90</t>
        </is>
      </c>
      <c r="O6" t="inlineStr">
        <is>
          <t>4</t>
        </is>
      </c>
    </row>
    <row r="7">
      <c r="A7" t="inlineStr">
        <is>
          <t>Electrical</t>
        </is>
      </c>
      <c r="B7" t="inlineStr">
        <is>
          <t>Bedroom</t>
        </is>
      </c>
      <c r="C7" t="inlineStr">
        <is>
          <t>Electrical</t>
        </is>
      </c>
      <c r="D7" t="inlineStr">
        <is>
          <t>electrical installation|UNIT|installation of bedroom electrical systems including outlets and lighting</t>
        </is>
      </c>
      <c r="E7" t="inlineStr">
        <is>
          <t>electrical installation</t>
        </is>
      </c>
      <c r="F7" t="inlineStr">
        <is>
          <t>installation of bedroom electrical systems including outlets and lighting</t>
        </is>
      </c>
      <c r="G7" t="n">
        <v>1</v>
      </c>
      <c r="H7" t="inlineStr">
        <is>
          <t>UNIT</t>
        </is>
      </c>
      <c r="I7" t="n">
        <v>3500</v>
      </c>
      <c r="J7" t="inlineStr">
        <is>
          <t>0.75</t>
        </is>
      </c>
      <c r="K7" t="inlineStr"/>
      <c r="L7">
        <f>G7*I7</f>
        <v/>
      </c>
      <c r="M7">
        <f>IF(OR(K7="",K7="Special Formula"), L7/(1-J7), L7*(1+J7))</f>
        <v/>
      </c>
      <c r="N7" t="inlineStr">
        <is>
          <t>85</t>
        </is>
      </c>
      <c r="O7" t="inlineStr">
        <is>
          <t>5</t>
        </is>
      </c>
    </row>
    <row r="8">
      <c r="A8" t="inlineStr">
        <is>
          <t>Plumbing</t>
        </is>
      </c>
      <c r="B8" t="inlineStr">
        <is>
          <t>Master Bathroom</t>
        </is>
      </c>
      <c r="C8" t="inlineStr">
        <is>
          <t>Demolition</t>
        </is>
      </c>
      <c r="D8" t="inlineStr">
        <is>
          <t xml:space="preserve">bathroom plumbing|UNIT|demolition plumbing for master bathroom including installation of double vanity </t>
        </is>
      </c>
      <c r="E8" t="inlineStr">
        <is>
          <t>bathroom plumbing</t>
        </is>
      </c>
      <c r="F8" t="inlineStr">
        <is>
          <t>demolition plumbing for master bathroom including installation of double vanity standing tub and shower</t>
        </is>
      </c>
      <c r="G8" t="n">
        <v>1</v>
      </c>
      <c r="H8" t="inlineStr">
        <is>
          <t>UNIT</t>
        </is>
      </c>
      <c r="I8" t="n">
        <v>9900</v>
      </c>
      <c r="J8" t="inlineStr">
        <is>
          <t>0.75</t>
        </is>
      </c>
      <c r="K8" t="inlineStr"/>
      <c r="L8">
        <f>G8*I8</f>
        <v/>
      </c>
      <c r="M8">
        <f>IF(OR(K8="",K8="Special Formula"), L8/(1-J8), L8*(1+J8))</f>
        <v/>
      </c>
      <c r="N8" t="inlineStr">
        <is>
          <t>95</t>
        </is>
      </c>
      <c r="O8" t="inlineStr">
        <is>
          <t>6</t>
        </is>
      </c>
    </row>
    <row r="9">
      <c r="A9" t="inlineStr">
        <is>
          <t>Plumbing</t>
        </is>
      </c>
      <c r="B9" t="inlineStr">
        <is>
          <t>Kitchen</t>
        </is>
      </c>
      <c r="C9" t="inlineStr">
        <is>
          <t>Demolition</t>
        </is>
      </c>
      <c r="D9" t="inlineStr">
        <is>
          <t>kitchen plumbing|UNIT|demolition plumbing for kitchen including sink and garbage disposal installation</t>
        </is>
      </c>
      <c r="E9" t="inlineStr">
        <is>
          <t>kitchen plumbing</t>
        </is>
      </c>
      <c r="F9" t="inlineStr">
        <is>
          <t>demolition plumbing for kitchen including sink and garbage disposal installation</t>
        </is>
      </c>
      <c r="G9" t="n">
        <v>1</v>
      </c>
      <c r="H9" t="inlineStr">
        <is>
          <t>UNIT</t>
        </is>
      </c>
      <c r="I9" t="n">
        <v>3850</v>
      </c>
      <c r="J9" t="inlineStr">
        <is>
          <t>0.75</t>
        </is>
      </c>
      <c r="K9" t="inlineStr"/>
      <c r="L9">
        <f>G9*I9</f>
        <v/>
      </c>
      <c r="M9">
        <f>IF(OR(K9="",K9="Special Formula"), L9/(1-J9), L9*(1+J9))</f>
        <v/>
      </c>
      <c r="N9" t="inlineStr">
        <is>
          <t>90</t>
        </is>
      </c>
      <c r="O9" t="inlineStr">
        <is>
          <t>7</t>
        </is>
      </c>
    </row>
    <row r="10">
      <c r="A10" t="inlineStr">
        <is>
          <t>Demolition</t>
        </is>
      </c>
      <c r="B10" t="inlineStr">
        <is>
          <t>Master Bathroom</t>
        </is>
      </c>
      <c r="C10" t="inlineStr">
        <is>
          <t>Demolition</t>
        </is>
      </c>
      <c r="D10" t="inlineStr">
        <is>
          <t>bathroom demolition|SF|demolition of master bathroom including removal of fixtures tile and flooring</t>
        </is>
      </c>
      <c r="E10" t="inlineStr">
        <is>
          <t>bathroom demolition</t>
        </is>
      </c>
      <c r="F10" t="inlineStr">
        <is>
          <t>demolition of master bathroom including removal of fixtures tile and flooring</t>
        </is>
      </c>
      <c r="G10" t="n">
        <v>35</v>
      </c>
      <c r="H10" t="inlineStr">
        <is>
          <t>SF</t>
        </is>
      </c>
      <c r="I10" t="n">
        <v>2750</v>
      </c>
      <c r="J10" t="inlineStr">
        <is>
          <t>0.75</t>
        </is>
      </c>
      <c r="K10" t="inlineStr"/>
      <c r="L10">
        <f>G10*I10</f>
        <v/>
      </c>
      <c r="M10">
        <f>IF(OR(K10="",K10="Special Formula"), L10/(1-J10), L10*(1+J10))</f>
        <v/>
      </c>
      <c r="N10" t="inlineStr">
        <is>
          <t>95</t>
        </is>
      </c>
      <c r="O10" t="inlineStr">
        <is>
          <t>8</t>
        </is>
      </c>
    </row>
    <row r="11">
      <c r="A11" t="inlineStr">
        <is>
          <t>Demolition</t>
        </is>
      </c>
      <c r="B11" t="inlineStr">
        <is>
          <t>Kitchen</t>
        </is>
      </c>
      <c r="C11" t="inlineStr">
        <is>
          <t>Demolition</t>
        </is>
      </c>
      <c r="D11" t="inlineStr">
        <is>
          <t>kitchen demolition|SF|demolition of kitchen including removal of cabinets countertops appliances floor</t>
        </is>
      </c>
      <c r="E11" t="inlineStr">
        <is>
          <t>kitchen demolition</t>
        </is>
      </c>
      <c r="F11" t="inlineStr">
        <is>
          <t>demolition of kitchen including removal of cabinets countertops appliances flooring and backsplash</t>
        </is>
      </c>
      <c r="G11" t="n">
        <v>245</v>
      </c>
      <c r="H11" t="inlineStr">
        <is>
          <t>SF</t>
        </is>
      </c>
      <c r="I11" t="n">
        <v>3300</v>
      </c>
      <c r="J11" t="inlineStr">
        <is>
          <t>0.75</t>
        </is>
      </c>
      <c r="K11" t="inlineStr"/>
      <c r="L11">
        <f>G11*I11</f>
        <v/>
      </c>
      <c r="M11">
        <f>IF(OR(K11="",K11="Special Formula"), L11/(1-J11), L11*(1+J11))</f>
        <v/>
      </c>
      <c r="N11" t="inlineStr">
        <is>
          <t>95</t>
        </is>
      </c>
      <c r="O11" t="inlineStr">
        <is>
          <t>9</t>
        </is>
      </c>
    </row>
    <row r="12">
      <c r="A12" t="inlineStr">
        <is>
          <t>Waterproofing</t>
        </is>
      </c>
      <c r="B12" t="inlineStr">
        <is>
          <t>Master Bathroom</t>
        </is>
      </c>
      <c r="C12" t="inlineStr">
        <is>
          <t>Flooring</t>
        </is>
      </c>
      <c r="D12" t="inlineStr">
        <is>
          <t>bathroom waterproofing|SF|installation of waterproofing systems for bathroom floors and walls</t>
        </is>
      </c>
      <c r="E12" t="inlineStr">
        <is>
          <t>bathroom waterproofing</t>
        </is>
      </c>
      <c r="F12" t="inlineStr">
        <is>
          <t>installation of waterproofing systems for bathroom floors and walls</t>
        </is>
      </c>
      <c r="G12" t="n">
        <v>35</v>
      </c>
      <c r="H12" t="inlineStr">
        <is>
          <t>SF</t>
        </is>
      </c>
      <c r="I12" t="n">
        <v>2100</v>
      </c>
      <c r="J12" t="inlineStr">
        <is>
          <t>0.65</t>
        </is>
      </c>
      <c r="K12" t="inlineStr"/>
      <c r="L12">
        <f>G12*I12</f>
        <v/>
      </c>
      <c r="M12">
        <f>IF(OR(K12="",K12="Special Formula"), L12/(1-J12), L12*(1+J12))</f>
        <v/>
      </c>
      <c r="N12" t="inlineStr">
        <is>
          <t>90</t>
        </is>
      </c>
      <c r="O12" t="inlineStr">
        <is>
          <t>10</t>
        </is>
      </c>
    </row>
    <row r="13">
      <c r="A13" t="inlineStr">
        <is>
          <t>Tile</t>
        </is>
      </c>
      <c r="B13" t="inlineStr">
        <is>
          <t>Master Bathroom</t>
        </is>
      </c>
      <c r="C13" t="inlineStr">
        <is>
          <t>Tile Work</t>
        </is>
      </c>
      <c r="D13" t="inlineStr">
        <is>
          <t>bathroom tile work|SF|installation of new bathroom floor and wall tiles</t>
        </is>
      </c>
      <c r="E13" t="inlineStr">
        <is>
          <t>bathroom tile work</t>
        </is>
      </c>
      <c r="F13" t="inlineStr">
        <is>
          <t>installation of new bathroom floor and wall tiles</t>
        </is>
      </c>
      <c r="G13" t="n">
        <v>60</v>
      </c>
      <c r="H13" t="inlineStr">
        <is>
          <t>SF</t>
        </is>
      </c>
      <c r="I13" t="n">
        <v>4100</v>
      </c>
      <c r="J13" t="inlineStr">
        <is>
          <t>0.80</t>
        </is>
      </c>
      <c r="K13" t="inlineStr"/>
      <c r="L13">
        <f>G13*I13</f>
        <v/>
      </c>
      <c r="M13">
        <f>IF(OR(K13="",K13="Special Formula"), L13/(1-J13), L13*(1+J13))</f>
        <v/>
      </c>
      <c r="N13" t="inlineStr">
        <is>
          <t>90</t>
        </is>
      </c>
      <c r="O13" t="inlineStr">
        <is>
          <t>11</t>
        </is>
      </c>
    </row>
    <row r="14">
      <c r="A14" t="inlineStr">
        <is>
          <t>Countertops</t>
        </is>
      </c>
      <c r="B14" t="inlineStr">
        <is>
          <t>Kitchen</t>
        </is>
      </c>
      <c r="C14" t="inlineStr">
        <is>
          <t>Countertops</t>
        </is>
      </c>
      <c r="D14" t="inlineStr">
        <is>
          <t>countertop installation|SF|install new quartz countertops with waterfall design</t>
        </is>
      </c>
      <c r="E14" t="inlineStr">
        <is>
          <t>countertop installation</t>
        </is>
      </c>
      <c r="F14" t="inlineStr">
        <is>
          <t>install new quartz countertops with waterfall design</t>
        </is>
      </c>
      <c r="G14" t="n">
        <v>45</v>
      </c>
      <c r="H14" t="inlineStr">
        <is>
          <t>SF</t>
        </is>
      </c>
      <c r="I14" t="n">
        <v>97</v>
      </c>
      <c r="J14" t="inlineStr">
        <is>
          <t>1.75</t>
        </is>
      </c>
      <c r="K14" t="inlineStr"/>
      <c r="L14">
        <f>G14*I14</f>
        <v/>
      </c>
      <c r="M14">
        <f>IF(OR(K14="",K14="Special Formula"), L14/(1-J14), L14*(1+J14))</f>
        <v/>
      </c>
      <c r="N14" t="inlineStr">
        <is>
          <t>95</t>
        </is>
      </c>
      <c r="O14" t="inlineStr">
        <is>
          <t>12</t>
        </is>
      </c>
    </row>
    <row r="15">
      <c r="A15" t="inlineStr">
        <is>
          <t>Backsplash</t>
        </is>
      </c>
      <c r="B15" t="inlineStr">
        <is>
          <t>Kitchen</t>
        </is>
      </c>
      <c r="C15" t="inlineStr">
        <is>
          <t>Backsplash</t>
        </is>
      </c>
      <c r="D15" t="inlineStr">
        <is>
          <t>backsplash installation|SF|install new tile backsplash to match updated kitchen style</t>
        </is>
      </c>
      <c r="E15" t="inlineStr">
        <is>
          <t>backsplash installation</t>
        </is>
      </c>
      <c r="F15" t="inlineStr">
        <is>
          <t>install new tile backsplash to match updated kitchen style</t>
        </is>
      </c>
      <c r="G15" t="n">
        <v>30</v>
      </c>
      <c r="H15" t="inlineStr">
        <is>
          <t>SF</t>
        </is>
      </c>
      <c r="I15" t="n">
        <v>2200</v>
      </c>
      <c r="J15" t="inlineStr">
        <is>
          <t>0.80</t>
        </is>
      </c>
      <c r="K15" t="inlineStr"/>
      <c r="L15">
        <f>G15*I15</f>
        <v/>
      </c>
      <c r="M15">
        <f>IF(OR(K15="",K15="Special Formula"), L15/(1-J15), L15*(1+J15))</f>
        <v/>
      </c>
      <c r="N15" t="inlineStr">
        <is>
          <t>90</t>
        </is>
      </c>
      <c r="O15" t="inlineStr">
        <is>
          <t>13</t>
        </is>
      </c>
    </row>
    <row r="16">
      <c r="A16" t="inlineStr">
        <is>
          <t>Cabinetry &amp; Storage</t>
        </is>
      </c>
      <c r="B16" t="inlineStr">
        <is>
          <t>Kitchen</t>
        </is>
      </c>
      <c r="C16" t="inlineStr">
        <is>
          <t>Cabinets</t>
        </is>
      </c>
      <c r="D16" t="inlineStr">
        <is>
          <t>kitchen cabinets installation|LF|installation of new kitchen cabinets including base and wall cabinets</t>
        </is>
      </c>
      <c r="E16" t="inlineStr">
        <is>
          <t>kitchen cabinets installation</t>
        </is>
      </c>
      <c r="F16" t="inlineStr">
        <is>
          <t>installation of new kitchen cabinets including base and wall cabinets</t>
        </is>
      </c>
      <c r="G16" t="n">
        <v>20</v>
      </c>
      <c r="H16" t="inlineStr">
        <is>
          <t>LF</t>
        </is>
      </c>
      <c r="I16" t="n">
        <v>10900</v>
      </c>
      <c r="J16" t="inlineStr">
        <is>
          <t>0.75</t>
        </is>
      </c>
      <c r="K16" t="inlineStr"/>
      <c r="L16">
        <f>G16*I16</f>
        <v/>
      </c>
      <c r="M16">
        <f>IF(OR(K16="",K16="Special Formula"), L16/(1-J16), L16*(1+J16))</f>
        <v/>
      </c>
      <c r="N16" t="inlineStr">
        <is>
          <t>95</t>
        </is>
      </c>
      <c r="O16" t="inlineStr">
        <is>
          <t>14</t>
        </is>
      </c>
    </row>
    <row r="17">
      <c r="A17" t="inlineStr">
        <is>
          <t>Kitchen Renovation</t>
        </is>
      </c>
      <c r="B17" t="inlineStr">
        <is>
          <t>Kitchen</t>
        </is>
      </c>
      <c r="C17" t="inlineStr">
        <is>
          <t>Other</t>
        </is>
      </c>
      <c r="D17" t="inlineStr">
        <is>
          <t>kitchen island installation|UNIT|install a new waterfall kitchen island to match existing kitchen style</t>
        </is>
      </c>
      <c r="E17" t="inlineStr">
        <is>
          <t>kitchen island installation</t>
        </is>
      </c>
      <c r="F17" t="inlineStr">
        <is>
          <t>install a new waterfall kitchen island to match existing kitchen style</t>
        </is>
      </c>
      <c r="G17" t="n">
        <v>1</v>
      </c>
      <c r="H17" t="inlineStr">
        <is>
          <t>UNIT</t>
        </is>
      </c>
      <c r="I17" t="n">
        <v>2400</v>
      </c>
      <c r="J17" t="inlineStr">
        <is>
          <t>0.75</t>
        </is>
      </c>
      <c r="K17" t="inlineStr"/>
      <c r="L17">
        <f>G17*I17</f>
        <v/>
      </c>
      <c r="M17">
        <f>IF(OR(K17="",K17="Special Formula"), L17/(1-J17), L17*(1+J17))</f>
        <v/>
      </c>
      <c r="N17" t="inlineStr">
        <is>
          <t>90</t>
        </is>
      </c>
      <c r="O17" t="inlineStr">
        <is>
          <t>15</t>
        </is>
      </c>
    </row>
    <row r="18">
      <c r="A18" t="inlineStr">
        <is>
          <t>Flooring</t>
        </is>
      </c>
      <c r="B18" t="inlineStr">
        <is>
          <t>Bedroom</t>
        </is>
      </c>
      <c r="C18" t="inlineStr">
        <is>
          <t>Flooring</t>
        </is>
      </c>
      <c r="D18" t="inlineStr">
        <is>
          <t>flooring installation|SF|installation of new herringbone flooring in the bedroom</t>
        </is>
      </c>
      <c r="E18" t="inlineStr">
        <is>
          <t>flooring installation</t>
        </is>
      </c>
      <c r="F18" t="inlineStr">
        <is>
          <t>installation of new herringbone flooring in the bedroom</t>
        </is>
      </c>
      <c r="G18" t="n">
        <v>197</v>
      </c>
      <c r="H18" t="inlineStr">
        <is>
          <t>SF</t>
        </is>
      </c>
      <c r="I18" t="n">
        <v>6</v>
      </c>
      <c r="J18" t="inlineStr">
        <is>
          <t>0.75</t>
        </is>
      </c>
      <c r="K18" t="inlineStr"/>
      <c r="L18">
        <f>G18*I18</f>
        <v/>
      </c>
      <c r="M18">
        <f>IF(OR(K18="",K18="Special Formula"), L18/(1-J18), L18*(1+J18))</f>
        <v/>
      </c>
      <c r="N18" t="inlineStr">
        <is>
          <t>85</t>
        </is>
      </c>
      <c r="O18" t="inlineStr">
        <is>
          <t>16</t>
        </is>
      </c>
    </row>
    <row r="19">
      <c r="A19" t="inlineStr">
        <is>
          <t>Painting &amp; Wall Coverings</t>
        </is>
      </c>
      <c r="B19" t="inlineStr">
        <is>
          <t>Bedroom</t>
        </is>
      </c>
      <c r="C19" t="inlineStr">
        <is>
          <t>Painting</t>
        </is>
      </c>
      <c r="D19" t="inlineStr">
        <is>
          <t>painting|SF|painting of bedroom walls and ceiling</t>
        </is>
      </c>
      <c r="E19" t="inlineStr">
        <is>
          <t>painting</t>
        </is>
      </c>
      <c r="F19" t="inlineStr">
        <is>
          <t>painting of bedroom walls and ceiling</t>
        </is>
      </c>
      <c r="G19" t="n">
        <v>197</v>
      </c>
      <c r="H19" t="inlineStr">
        <is>
          <t>SF</t>
        </is>
      </c>
      <c r="I19" t="n">
        <v>10.3</v>
      </c>
      <c r="J19" t="inlineStr">
        <is>
          <t>0.70</t>
        </is>
      </c>
      <c r="K19" t="inlineStr"/>
      <c r="L19">
        <f>G19*I19</f>
        <v/>
      </c>
      <c r="M19">
        <f>IF(OR(K19="",K19="Special Formula"), L19/(1-J19), L19*(1+J19))</f>
        <v/>
      </c>
      <c r="N19" t="inlineStr">
        <is>
          <t>85</t>
        </is>
      </c>
      <c r="O19" t="inlineStr">
        <is>
          <t>17</t>
        </is>
      </c>
    </row>
    <row r="20">
      <c r="A20" t="inlineStr">
        <is>
          <t>General Requirements</t>
        </is>
      </c>
      <c r="B20" t="inlineStr">
        <is>
          <t>Entire House</t>
        </is>
      </c>
      <c r="C20" t="inlineStr">
        <is>
          <t>Cleaning</t>
        </is>
      </c>
      <c r="D20" t="inlineStr">
        <is>
          <t>post construction cleaning|UNIT|comprehensive cleaning of all renovated areas</t>
        </is>
      </c>
      <c r="E20" t="inlineStr">
        <is>
          <t>post construction cleaning</t>
        </is>
      </c>
      <c r="F20" t="inlineStr">
        <is>
          <t>comprehensive cleaning of all renovated areas</t>
        </is>
      </c>
      <c r="G20" t="n">
        <v>1</v>
      </c>
      <c r="H20" t="inlineStr">
        <is>
          <t>UNIT</t>
        </is>
      </c>
      <c r="I20" t="n">
        <v>4400</v>
      </c>
      <c r="J20" t="inlineStr">
        <is>
          <t>0.75</t>
        </is>
      </c>
      <c r="K20" t="inlineStr"/>
      <c r="L20">
        <f>G20*I20</f>
        <v/>
      </c>
      <c r="M20">
        <f>IF(OR(K20="",K20="Special Formula"), L20/(1-J20), L20*(1+J20))</f>
        <v/>
      </c>
      <c r="N20" t="inlineStr">
        <is>
          <t>95</t>
        </is>
      </c>
      <c r="O20" t="inlineStr">
        <is>
          <t>18</t>
        </is>
      </c>
    </row>
    <row r="21">
      <c r="A21" t="inlineStr">
        <is>
          <t>General Requirements</t>
        </is>
      </c>
      <c r="B21" t="inlineStr">
        <is>
          <t>Entire Apartment</t>
        </is>
      </c>
      <c r="C21" t="inlineStr">
        <is>
          <t>Cleaning</t>
        </is>
      </c>
      <c r="D21" t="inlineStr">
        <is>
          <t>post construction cleaning|UNIT|comprehensive cleaning of the entire apartment post renovation</t>
        </is>
      </c>
      <c r="E21" t="inlineStr">
        <is>
          <t>post construction cleaning</t>
        </is>
      </c>
      <c r="F21" t="inlineStr">
        <is>
          <t>comprehensive cleaning of the entire apartment post renovation</t>
        </is>
      </c>
      <c r="G21" t="n">
        <v>1</v>
      </c>
      <c r="H21" t="inlineStr">
        <is>
          <t>UNIT</t>
        </is>
      </c>
      <c r="I21" t="n">
        <v>1925</v>
      </c>
      <c r="J21" t="inlineStr">
        <is>
          <t>0.75</t>
        </is>
      </c>
      <c r="K21" t="inlineStr"/>
      <c r="L21">
        <f>G21*I21</f>
        <v/>
      </c>
      <c r="M21">
        <f>IF(OR(K21="",K21="Special Formula"), L21/(1-J21), L21*(1+J21))</f>
        <v/>
      </c>
      <c r="N21" t="inlineStr">
        <is>
          <t>85</t>
        </is>
      </c>
      <c r="O21" t="inlineStr">
        <is>
          <t>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20" customWidth="1" min="5" max="5"/>
  </cols>
  <sheetData>
    <row r="1">
      <c r="A1" t="inlineStr">
        <is>
          <t>Category</t>
        </is>
      </c>
      <c r="B1" t="inlineStr">
        <is>
          <t>Room</t>
        </is>
      </c>
      <c r="C1" t="inlineStr">
        <is>
          <t>Section</t>
        </is>
      </c>
      <c r="D1" t="inlineStr">
        <is>
          <t>Subtotal_NoMarkup</t>
        </is>
      </c>
      <c r="E1" t="inlineStr">
        <is>
          <t>MarkedUpSubtotal</t>
        </is>
      </c>
    </row>
    <row r="2">
      <c r="A2" t="inlineStr">
        <is>
          <t>Backsplash</t>
        </is>
      </c>
      <c r="B2" t="inlineStr">
        <is>
          <t>Kitchen</t>
        </is>
      </c>
      <c r="C2" t="inlineStr">
        <is>
          <t>Backsplash</t>
        </is>
      </c>
      <c r="D2" t="n">
        <v>66000</v>
      </c>
      <c r="E2" t="n">
        <v>330000</v>
      </c>
    </row>
    <row r="3">
      <c r="A3" t="inlineStr">
        <is>
          <t>Basement Renovation</t>
        </is>
      </c>
      <c r="B3" t="inlineStr">
        <is>
          <t>Basement</t>
        </is>
      </c>
      <c r="C3" t="inlineStr">
        <is>
          <t>Other</t>
        </is>
      </c>
      <c r="D3" t="n">
        <v>30000</v>
      </c>
      <c r="E3" t="n">
        <v>120000</v>
      </c>
    </row>
    <row r="4">
      <c r="A4" t="inlineStr">
        <is>
          <t>Cabinetry &amp; Storage</t>
        </is>
      </c>
      <c r="B4" t="inlineStr">
        <is>
          <t>Kitchen</t>
        </is>
      </c>
      <c r="C4" t="inlineStr">
        <is>
          <t>Cabinets</t>
        </is>
      </c>
      <c r="D4" t="n">
        <v>218000</v>
      </c>
      <c r="E4" t="n">
        <v>872000</v>
      </c>
    </row>
    <row r="5">
      <c r="A5" t="inlineStr">
        <is>
          <t>Countertops</t>
        </is>
      </c>
      <c r="B5" t="inlineStr">
        <is>
          <t>Kitchen</t>
        </is>
      </c>
      <c r="C5" t="inlineStr">
        <is>
          <t>Countertops</t>
        </is>
      </c>
      <c r="D5" t="n">
        <v>4365</v>
      </c>
      <c r="E5" t="n">
        <v>7638.75</v>
      </c>
    </row>
    <row r="6">
      <c r="A6" t="inlineStr">
        <is>
          <t>Demolition</t>
        </is>
      </c>
      <c r="B6" t="inlineStr">
        <is>
          <t>Kitchen</t>
        </is>
      </c>
      <c r="C6" t="inlineStr">
        <is>
          <t>Demolition</t>
        </is>
      </c>
      <c r="D6" t="n">
        <v>808500</v>
      </c>
      <c r="E6" t="n">
        <v>3234000</v>
      </c>
    </row>
    <row r="7">
      <c r="A7" t="inlineStr">
        <is>
          <t>Demolition</t>
        </is>
      </c>
      <c r="B7" t="inlineStr">
        <is>
          <t>Master Bathroom</t>
        </is>
      </c>
      <c r="C7" t="inlineStr">
        <is>
          <t>Demolition</t>
        </is>
      </c>
      <c r="D7" t="n">
        <v>96250</v>
      </c>
      <c r="E7" t="n">
        <v>385000</v>
      </c>
    </row>
    <row r="8">
      <c r="A8" t="inlineStr">
        <is>
          <t>Electrical</t>
        </is>
      </c>
      <c r="B8" t="inlineStr">
        <is>
          <t>Basement</t>
        </is>
      </c>
      <c r="C8" t="inlineStr">
        <is>
          <t>Electrical</t>
        </is>
      </c>
      <c r="D8" t="n">
        <v>4697</v>
      </c>
      <c r="E8" t="n">
        <v>18788</v>
      </c>
    </row>
    <row r="9">
      <c r="A9" t="inlineStr">
        <is>
          <t>Electrical</t>
        </is>
      </c>
      <c r="B9" t="inlineStr">
        <is>
          <t>Bedroom</t>
        </is>
      </c>
      <c r="C9" t="inlineStr">
        <is>
          <t>Electrical</t>
        </is>
      </c>
      <c r="D9" t="n">
        <v>3500</v>
      </c>
      <c r="E9" t="n">
        <v>14000</v>
      </c>
    </row>
    <row r="10">
      <c r="A10" t="inlineStr">
        <is>
          <t>Electrical</t>
        </is>
      </c>
      <c r="B10" t="inlineStr">
        <is>
          <t>Kitchen</t>
        </is>
      </c>
      <c r="C10" t="inlineStr">
        <is>
          <t>Electrical</t>
        </is>
      </c>
      <c r="D10" t="n">
        <v>3500</v>
      </c>
      <c r="E10" t="n">
        <v>14000</v>
      </c>
    </row>
    <row r="11">
      <c r="A11" t="inlineStr">
        <is>
          <t>Electrical</t>
        </is>
      </c>
      <c r="B11" t="inlineStr">
        <is>
          <t>Master Bathroom</t>
        </is>
      </c>
      <c r="C11" t="inlineStr">
        <is>
          <t>Electrical</t>
        </is>
      </c>
      <c r="D11" t="n">
        <v>3500</v>
      </c>
      <c r="E11" t="n">
        <v>14000</v>
      </c>
    </row>
    <row r="12">
      <c r="A12" t="inlineStr">
        <is>
          <t>Flooring</t>
        </is>
      </c>
      <c r="B12" t="inlineStr">
        <is>
          <t>Bedroom</t>
        </is>
      </c>
      <c r="C12" t="inlineStr">
        <is>
          <t>Flooring</t>
        </is>
      </c>
      <c r="D12" t="n">
        <v>1182</v>
      </c>
      <c r="E12" t="n">
        <v>4728</v>
      </c>
    </row>
    <row r="13">
      <c r="A13" t="inlineStr">
        <is>
          <t>General Requirements</t>
        </is>
      </c>
      <c r="B13" t="inlineStr">
        <is>
          <t>Entire Apartment</t>
        </is>
      </c>
      <c r="C13" t="inlineStr">
        <is>
          <t>Cleaning</t>
        </is>
      </c>
      <c r="D13" t="n">
        <v>1925</v>
      </c>
      <c r="E13" t="n">
        <v>7700</v>
      </c>
    </row>
    <row r="14">
      <c r="A14" t="inlineStr">
        <is>
          <t>General Requirements</t>
        </is>
      </c>
      <c r="B14" t="inlineStr">
        <is>
          <t>Entire House</t>
        </is>
      </c>
      <c r="C14" t="inlineStr">
        <is>
          <t>Cleaning</t>
        </is>
      </c>
      <c r="D14" t="n">
        <v>4400</v>
      </c>
      <c r="E14" t="n">
        <v>17600</v>
      </c>
    </row>
    <row r="15">
      <c r="A15" t="inlineStr">
        <is>
          <t>Kitchen Renovation</t>
        </is>
      </c>
      <c r="B15" t="inlineStr">
        <is>
          <t>Kitchen</t>
        </is>
      </c>
      <c r="C15" t="inlineStr">
        <is>
          <t>Other</t>
        </is>
      </c>
      <c r="D15" t="n">
        <v>2400</v>
      </c>
      <c r="E15" t="n">
        <v>9600</v>
      </c>
    </row>
    <row r="16">
      <c r="A16" t="inlineStr">
        <is>
          <t>Painting &amp; Wall Coverings</t>
        </is>
      </c>
      <c r="B16" t="inlineStr">
        <is>
          <t>Bedroom</t>
        </is>
      </c>
      <c r="C16" t="inlineStr">
        <is>
          <t>Painting</t>
        </is>
      </c>
      <c r="D16" t="n">
        <v>2029.1</v>
      </c>
      <c r="E16" t="n">
        <v>6763.67</v>
      </c>
    </row>
    <row r="17">
      <c r="A17" t="inlineStr">
        <is>
          <t>Plumbing</t>
        </is>
      </c>
      <c r="B17" t="inlineStr">
        <is>
          <t>Kitchen</t>
        </is>
      </c>
      <c r="C17" t="inlineStr">
        <is>
          <t>Demolition</t>
        </is>
      </c>
      <c r="D17" t="n">
        <v>3850</v>
      </c>
      <c r="E17" t="n">
        <v>15400</v>
      </c>
    </row>
    <row r="18">
      <c r="A18" t="inlineStr">
        <is>
          <t>Plumbing</t>
        </is>
      </c>
      <c r="B18" t="inlineStr">
        <is>
          <t>Master Bathroom</t>
        </is>
      </c>
      <c r="C18" t="inlineStr">
        <is>
          <t>Demolition</t>
        </is>
      </c>
      <c r="D18" t="n">
        <v>9900</v>
      </c>
      <c r="E18" t="n">
        <v>39600</v>
      </c>
    </row>
    <row r="19">
      <c r="A19" t="inlineStr">
        <is>
          <t>Tile</t>
        </is>
      </c>
      <c r="B19" t="inlineStr">
        <is>
          <t>Master Bathroom</t>
        </is>
      </c>
      <c r="C19" t="inlineStr">
        <is>
          <t>Tile Work</t>
        </is>
      </c>
      <c r="D19" t="n">
        <v>246000</v>
      </c>
      <c r="E19" t="n">
        <v>1230000</v>
      </c>
    </row>
    <row r="20">
      <c r="A20" t="inlineStr">
        <is>
          <t>Waterproofing</t>
        </is>
      </c>
      <c r="B20" t="inlineStr">
        <is>
          <t>Master Bathroom</t>
        </is>
      </c>
      <c r="C20" t="inlineStr">
        <is>
          <t>Flooring</t>
        </is>
      </c>
      <c r="D20" t="n">
        <v>73500</v>
      </c>
      <c r="E20" t="n">
        <v>210000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t="inlineStr">
        <is>
          <t>Category</t>
        </is>
      </c>
      <c r="B1" t="inlineStr">
        <is>
          <t>Subtotal_NoMarkup</t>
        </is>
      </c>
      <c r="C1" t="inlineStr">
        <is>
          <t>MarkedUpSubtotal</t>
        </is>
      </c>
    </row>
    <row r="2">
      <c r="A2" t="inlineStr">
        <is>
          <t>Backsplash</t>
        </is>
      </c>
      <c r="B2" t="n">
        <v>66000</v>
      </c>
      <c r="C2" t="n">
        <v>330000</v>
      </c>
    </row>
    <row r="3">
      <c r="A3" t="inlineStr">
        <is>
          <t>Basement Renovation</t>
        </is>
      </c>
      <c r="B3" t="n">
        <v>30000</v>
      </c>
      <c r="C3" t="n">
        <v>120000</v>
      </c>
    </row>
    <row r="4">
      <c r="A4" t="inlineStr">
        <is>
          <t>Cabinetry &amp; Storage</t>
        </is>
      </c>
      <c r="B4" t="n">
        <v>218000</v>
      </c>
      <c r="C4" t="n">
        <v>872000</v>
      </c>
    </row>
    <row r="5">
      <c r="A5" t="inlineStr">
        <is>
          <t>Countertops</t>
        </is>
      </c>
      <c r="B5" t="n">
        <v>4365</v>
      </c>
      <c r="C5" t="n">
        <v>7638.75</v>
      </c>
    </row>
    <row r="6">
      <c r="A6" t="inlineStr">
        <is>
          <t>Demolition</t>
        </is>
      </c>
      <c r="B6" t="n">
        <v>904750</v>
      </c>
      <c r="C6" t="n">
        <v>3619000</v>
      </c>
    </row>
    <row r="7">
      <c r="A7" t="inlineStr">
        <is>
          <t>Electrical</t>
        </is>
      </c>
      <c r="B7" t="n">
        <v>15197</v>
      </c>
      <c r="C7" t="n">
        <v>60788</v>
      </c>
    </row>
    <row r="8">
      <c r="A8" t="inlineStr">
        <is>
          <t>Flooring</t>
        </is>
      </c>
      <c r="B8" t="n">
        <v>1182</v>
      </c>
      <c r="C8" t="n">
        <v>4728</v>
      </c>
    </row>
    <row r="9">
      <c r="A9" t="inlineStr">
        <is>
          <t>General Requirements</t>
        </is>
      </c>
      <c r="B9" t="n">
        <v>6325</v>
      </c>
      <c r="C9" t="n">
        <v>25300</v>
      </c>
    </row>
    <row r="10">
      <c r="A10" t="inlineStr">
        <is>
          <t>Kitchen Renovation</t>
        </is>
      </c>
      <c r="B10" t="n">
        <v>2400</v>
      </c>
      <c r="C10" t="n">
        <v>9600</v>
      </c>
    </row>
    <row r="11">
      <c r="A11" t="inlineStr">
        <is>
          <t>Painting &amp; Wall Coverings</t>
        </is>
      </c>
      <c r="B11" t="n">
        <v>2029.1</v>
      </c>
      <c r="C11" t="n">
        <v>6763.67</v>
      </c>
    </row>
    <row r="12">
      <c r="A12" t="inlineStr">
        <is>
          <t>Plumbing</t>
        </is>
      </c>
      <c r="B12" t="n">
        <v>13750</v>
      </c>
      <c r="C12" t="n">
        <v>55000</v>
      </c>
    </row>
    <row r="13">
      <c r="A13" t="inlineStr">
        <is>
          <t>Tile</t>
        </is>
      </c>
      <c r="B13" t="n">
        <v>246000</v>
      </c>
      <c r="C13" t="n">
        <v>1230000</v>
      </c>
    </row>
    <row r="14">
      <c r="A14" t="inlineStr">
        <is>
          <t>Waterproofing</t>
        </is>
      </c>
      <c r="B14" t="n">
        <v>73500</v>
      </c>
      <c r="C14" t="n">
        <v>210000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6" customWidth="1" min="3" max="3"/>
    <col width="30" customWidth="1" min="4" max="4"/>
  </cols>
  <sheetData>
    <row r="1">
      <c r="A1" t="inlineStr">
        <is>
          <t>Issue</t>
        </is>
      </c>
      <c r="B1" t="inlineStr">
        <is>
          <t>Group</t>
        </is>
      </c>
      <c r="C1" t="inlineStr">
        <is>
          <t>DroppedCount</t>
        </is>
      </c>
      <c r="D1" t="inlineStr">
        <is>
          <t>Kept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2025-09-29T16:02:15Z</dcterms:created>
  <dcterms:modified xmlns:dcterms="http://purl.org/dc/terms/" xmlns:xsi="http://www.w3.org/2001/XMLSchema-instance" xsi:type="dcterms:W3CDTF">2025-09-29T16:02:15Z</dcterms:modified>
</cp:coreProperties>
</file>